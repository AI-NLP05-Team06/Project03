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임도균\Desktop\"/>
    </mc:Choice>
  </mc:AlternateContent>
  <xr:revisionPtr revIDLastSave="0" documentId="8_{2B47F86E-2056-4B99-8F2E-26DE56D026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검색평가용" sheetId="1" r:id="rId1"/>
    <sheet name="지표·칼럼 안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B37" i="2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<sst xmlns="http://schemas.openxmlformats.org/spreadsheetml/2006/main" count="2209" uniqueCount="737">
  <si>
    <t>검색평가대상</t>
  </si>
  <si>
    <t>evaluation_id</t>
  </si>
  <si>
    <t>질문ID(원본)</t>
  </si>
  <si>
    <t>예상질문</t>
  </si>
  <si>
    <t>도메인</t>
  </si>
  <si>
    <t>gold_business_function</t>
  </si>
  <si>
    <t>질문 복잡도</t>
  </si>
  <si>
    <t>중요도</t>
  </si>
  <si>
    <t>gold_source_urls</t>
  </si>
  <si>
    <t>gold_primary_chunk_ids</t>
  </si>
  <si>
    <t>gold_supporting_chunk_ids</t>
  </si>
  <si>
    <t>gold_chunk_ids</t>
  </si>
  <si>
    <t>gold_evidence_requirement</t>
  </si>
  <si>
    <t>multi_chunk_required</t>
  </si>
  <si>
    <t>gold_review_status</t>
  </si>
  <si>
    <t>DP-Q001</t>
  </si>
  <si>
    <t>Q001</t>
  </si>
  <si>
    <t>예금자 1인당 보호받을 수 있는 한도는 얼마인가요?</t>
  </si>
  <si>
    <t>예금자보호제도</t>
  </si>
  <si>
    <t>deposit_protection</t>
  </si>
  <si>
    <t>L1_single_fact</t>
  </si>
  <si>
    <t>상</t>
  </si>
  <si>
    <t>["https://www.kdic.or.kr/sp/dpstrprot/ProtSystProtLmts/selectScrn.do"]</t>
  </si>
  <si>
    <t>["DP-001_chunk_000"]</t>
  </si>
  <si>
    <t>[]</t>
  </si>
  <si>
    <t>PRIMARY_ONLY</t>
  </si>
  <si>
    <t>N</t>
  </si>
  <si>
    <t>auto_approved</t>
  </si>
  <si>
    <t>DP-Q002</t>
  </si>
  <si>
    <t>Q002</t>
  </si>
  <si>
    <t>한도를 초과한 금액은 어떻게 되나요?</t>
  </si>
  <si>
    <t>DP-Q003</t>
  </si>
  <si>
    <t>Q003</t>
  </si>
  <si>
    <t>원금과 이자를 합쳐서 계산하나요, 따로 계산하나요?</t>
  </si>
  <si>
    <t>L2_multi_fact</t>
  </si>
  <si>
    <t>DP-Q004</t>
  </si>
  <si>
    <t>Q004</t>
  </si>
  <si>
    <t>예금자보호제도가 뭔가요?</t>
  </si>
  <si>
    <t>["https://www.kdic.or.kr/sp/dpstrprot/ProtSyst/selectScrn.do"]</t>
  </si>
  <si>
    <t>["DP-002_chunk_001"]</t>
  </si>
  <si>
    <t>["DP-002_chunk_002"]</t>
  </si>
  <si>
    <t>["DP-002_chunk_001","DP-002_chunk_002"]</t>
  </si>
  <si>
    <t>PRIMARY_PLUS_SUPPORT</t>
  </si>
  <si>
    <t>Y</t>
  </si>
  <si>
    <t>pending_review</t>
  </si>
  <si>
    <t>DP-Q005</t>
  </si>
  <si>
    <t>Q005</t>
  </si>
  <si>
    <t>예금보험공사는 어떤 원리로 예금을 대신 지급하나요?</t>
  </si>
  <si>
    <t>["DP-002_chunk_000"]</t>
  </si>
  <si>
    <t>["DP-002_chunk_002","DP-002_chunk_000"]</t>
  </si>
  <si>
    <t>DP-Q006</t>
  </si>
  <si>
    <t>Q006</t>
  </si>
  <si>
    <t>보험료는 누가 내나요?</t>
  </si>
  <si>
    <t>DP-Q007</t>
  </si>
  <si>
    <t>Q007</t>
  </si>
  <si>
    <t>어떤 금융회사가 예금보호 대상인가요?</t>
  </si>
  <si>
    <t>["https://www.kdic.or.kr/sp/dpstrprot/selectProtSystProtSumr.do"]</t>
  </si>
  <si>
    <t>["DP-003_chunk_001","DP-003_chunk_002"]</t>
  </si>
  <si>
    <t>DP-Q008</t>
  </si>
  <si>
    <t>Q008</t>
  </si>
  <si>
    <t>상호저축은행도 보호되나요?</t>
  </si>
  <si>
    <t>DP-Q009</t>
  </si>
  <si>
    <t>Q009</t>
  </si>
  <si>
    <t>증권사는 예금보호 대상에 포함되나요?</t>
  </si>
  <si>
    <t>["DP-003_chunk_002"]</t>
  </si>
  <si>
    <t>DP-Q010</t>
  </si>
  <si>
    <t>Q010</t>
  </si>
  <si>
    <t>어떤 금융상품이 보호되나요?</t>
  </si>
  <si>
    <t>["https://www.kdic.or.kr/sp/dpstrprot/selectProtSystProtTrgtPrdctSumr.do"]</t>
  </si>
  <si>
    <t>["DP-004_chunk_012"]</t>
  </si>
  <si>
    <t>["DP-004_chunk_007"]</t>
  </si>
  <si>
    <t>["DP-004_chunk_012","DP-004_chunk_007"]</t>
  </si>
  <si>
    <t>DP-Q011</t>
  </si>
  <si>
    <t>Q011</t>
  </si>
  <si>
    <t>투자신탁 상품도 보호 대상인가요?</t>
  </si>
  <si>
    <t>["DP-004_chunk_005"]</t>
  </si>
  <si>
    <t>["DP-004_chunk_005","DP-004_chunk_007"]</t>
  </si>
  <si>
    <t>DP-Q012</t>
  </si>
  <si>
    <t>Q012</t>
  </si>
  <si>
    <t>보호상품과 비보호상품은 어떻게 구분하나요?</t>
  </si>
  <si>
    <t>["DP-004_chunk_007","DP-004_chunk_003"]</t>
  </si>
  <si>
    <t>ALL</t>
  </si>
  <si>
    <t>DP-Q013</t>
  </si>
  <si>
    <t>Q013</t>
  </si>
  <si>
    <t>계열 저축은행에 나눠 예금하면 보호한도가 각각 적용되나요?</t>
  </si>
  <si>
    <t>L3_conditional</t>
  </si>
  <si>
    <t>중</t>
  </si>
  <si>
    <t>["https://fins.kdic.or.kr/cm/bbs/selectFaqNramtAply.do"]</t>
  </si>
  <si>
    <t>["DP-005_chunk_004"]</t>
  </si>
  <si>
    <t>DP-Q014</t>
  </si>
  <si>
    <t>Q014</t>
  </si>
  <si>
    <t>은행이 영업정지되면 예금은 어떻게 찾나요?</t>
  </si>
  <si>
    <t>["DP-005_chunk_002","DP-005_chunk_009"]</t>
  </si>
  <si>
    <t>DP-Q015</t>
  </si>
  <si>
    <t>Q015</t>
  </si>
  <si>
    <t>영업정지 기간 중에도 예금 인출이 가능한가요?</t>
  </si>
  <si>
    <t>["DP-005_chunk_009"]</t>
  </si>
  <si>
    <t>DP-Q016</t>
  </si>
  <si>
    <t>Q016</t>
  </si>
  <si>
    <t>2025년에 보호한도가 상향됐다는데 맞나요?</t>
  </si>
  <si>
    <t>["https://www.kdic.or.kr/sp/dpstrprot/ProtSystFaq/selectScrn.do"]</t>
  </si>
  <si>
    <t>["DP-006_chunk_000"]</t>
  </si>
  <si>
    <t>DP-Q017</t>
  </si>
  <si>
    <t>Q017</t>
  </si>
  <si>
    <t>한도 상향은 언제부터 적용되나요?</t>
  </si>
  <si>
    <t>DP-Q018</t>
  </si>
  <si>
    <t>Q018</t>
  </si>
  <si>
    <t>미국의 예금보호한도는 얼마인가요?</t>
  </si>
  <si>
    <t>하</t>
  </si>
  <si>
    <t>["https://www.kdic.or.kr/di/bzpblnt/selectPbcrPblntProtLmtsOvrs.do"]</t>
  </si>
  <si>
    <t>["DP-007_chunk_000"]</t>
  </si>
  <si>
    <t>["DP-007_chunk_001"]</t>
  </si>
  <si>
    <t>["DP-007_chunk_000","DP-007_chunk_001"]</t>
  </si>
  <si>
    <t>DP-Q019</t>
  </si>
  <si>
    <t>Q019</t>
  </si>
  <si>
    <t>한국과 일본의 예금보호한도를 비교해주세요</t>
  </si>
  <si>
    <t>DP-Q128</t>
  </si>
  <si>
    <t>Q128</t>
  </si>
  <si>
    <t>오늘 너무 힘든데 예금 얼마까지 보호되나요?</t>
  </si>
  <si>
    <t>BI-Q020</t>
  </si>
  <si>
    <t>Q020</t>
  </si>
  <si>
    <t>예금보험금 신청할 때 필요한 서류가 뭔가요?</t>
  </si>
  <si>
    <t>예금보험금</t>
  </si>
  <si>
    <t>deposit_insurance_payout</t>
  </si>
  <si>
    <t>["https://www.kdic.or.kr/sp/dpstrprot/DpsmIbamtAplyPossDcmnt/selectScrn.do"]</t>
  </si>
  <si>
    <t>["BI-001_chunk_000","BI-001_chunk_001","BI-001_chunk_006"]</t>
  </si>
  <si>
    <t>BI-Q021</t>
  </si>
  <si>
    <t>Q021</t>
  </si>
  <si>
    <t>미성년자 명의로 신청할 때는 어떤 서류가 필요하나요?</t>
  </si>
  <si>
    <t>["BI-001_chunk_003"]</t>
  </si>
  <si>
    <t>BI-Q022</t>
  </si>
  <si>
    <t>Q022</t>
  </si>
  <si>
    <t>대리인이 신청하려면 무엇을 준비해야 하나요?</t>
  </si>
  <si>
    <t>["BI-001_chunk_001"]</t>
  </si>
  <si>
    <t>BI-Q023</t>
  </si>
  <si>
    <t>Q023</t>
  </si>
  <si>
    <t>예금보험금은 어떤 절차로 신청하나요?</t>
  </si>
  <si>
    <t>["https://www.kdic.or.kr/sp/dpstrprot/DpsmIbamtAplyProc/selectScrn.do"]</t>
  </si>
  <si>
    <t>["BI-002_chunk_000","BI-002_chunk_001","BI-002_chunk_002"]</t>
  </si>
  <si>
    <t>BI-Q024</t>
  </si>
  <si>
    <t>Q024</t>
  </si>
  <si>
    <t>보험사고 발생 후 지급까지 얼마나 걸리나요?</t>
  </si>
  <si>
    <t>["BI-002_chunk_002"]</t>
  </si>
  <si>
    <t>BI-Q025</t>
  </si>
  <si>
    <t>Q025</t>
  </si>
  <si>
    <t>예금보험금이 뭔가요?</t>
  </si>
  <si>
    <t>["https://www.kdic.or.kr/sp/dpstrprot/DpsmIbamtExpln/selectScrn.do"]</t>
  </si>
  <si>
    <t>["BI-003_chunk_001"]</t>
  </si>
  <si>
    <t>BI-Q026</t>
  </si>
  <si>
    <t>Q026</t>
  </si>
  <si>
    <t>가지급금과 개산지급금은 어떻게 다른가요?</t>
  </si>
  <si>
    <t>["BI-003_chunk_002","BI-003_chunk_003"]</t>
  </si>
  <si>
    <t>BI-Q027</t>
  </si>
  <si>
    <t>Q027</t>
  </si>
  <si>
    <t>우리은행이 파산했을 때 예금보험금 지급대상인지 어떻게 확인하나요?</t>
  </si>
  <si>
    <t>["BI-004_chunk_000"]</t>
  </si>
  <si>
    <t>["BI-003_chunk_006"]</t>
  </si>
  <si>
    <t>["BI-004_chunk_000","BI-003_chunk_006"]</t>
  </si>
  <si>
    <t>BI-Q028</t>
  </si>
  <si>
    <t>Q028</t>
  </si>
  <si>
    <t>특정 파산금융회사가 지급대상인지 검색할 수 있나요?</t>
  </si>
  <si>
    <t>BI-Q029</t>
  </si>
  <si>
    <t>Q029</t>
  </si>
  <si>
    <t>은행이 문을 닫았다는데 제 돈 찾으려면 뭐부터 해야 해요?</t>
  </si>
  <si>
    <t>L4_multi_turn</t>
  </si>
  <si>
    <t>미지정</t>
  </si>
  <si>
    <t>BI-Q030</t>
  </si>
  <si>
    <t>Q030</t>
  </si>
  <si>
    <t>지급 안내를 받았는데 그냥 기다리면 되는 건가요?</t>
  </si>
  <si>
    <t>["BI-002_chunk_001"]</t>
  </si>
  <si>
    <t>["BI-002_chunk_002","BI-002_chunk_001"]</t>
  </si>
  <si>
    <t>BI-Q031</t>
  </si>
  <si>
    <t>Q031</t>
  </si>
  <si>
    <t>보험금 신청하려는데 신분증만 가져가면 되나요?</t>
  </si>
  <si>
    <t>BI-Q032</t>
  </si>
  <si>
    <t>Q032</t>
  </si>
  <si>
    <t>제가 직접 못 가는데 가족이 대신 받아도 되나요?</t>
  </si>
  <si>
    <t>["BI-001_chunk_006"]</t>
  </si>
  <si>
    <t>["BI-001_chunk_001","BI-001_chunk_006"]</t>
  </si>
  <si>
    <t>BI-Q033</t>
  </si>
  <si>
    <t>Q033</t>
  </si>
  <si>
    <t>아이 통장에 있는 돈은 부모가 대신 신청할 수 있나요?</t>
  </si>
  <si>
    <t>BI-Q034</t>
  </si>
  <si>
    <t>Q034</t>
  </si>
  <si>
    <t>돌아가신 가족의 예금보험금은 누가 신청해야 하나요?</t>
  </si>
  <si>
    <t>["BI-001_chunk_004"]</t>
  </si>
  <si>
    <t>BI-Q035</t>
  </si>
  <si>
    <t>Q035</t>
  </si>
  <si>
    <t>지금 해외에 있는데 보험금을 신청할 수 있나요?</t>
  </si>
  <si>
    <t>["BI-001_chunk_005"]</t>
  </si>
  <si>
    <t>BI-Q036</t>
  </si>
  <si>
    <t>Q036</t>
  </si>
  <si>
    <t>신청은 인터넷으로 하나요, 직접 방문해야 하나요?</t>
  </si>
  <si>
    <t>["BI-002_chunk_002","BI-003_chunk_008"]</t>
  </si>
  <si>
    <t>BI-Q037</t>
  </si>
  <si>
    <t>Q037</t>
  </si>
  <si>
    <t>돈을 먼저 일부 받을 수 있다는데 그게 무슨 돈이에요?</t>
  </si>
  <si>
    <t>["BI-003_chunk_002"]</t>
  </si>
  <si>
    <t>BI-Q038</t>
  </si>
  <si>
    <t>Q038</t>
  </si>
  <si>
    <t>문자로 지급 안내가 왔는데 어디에서 확인하고 신청해요?</t>
  </si>
  <si>
    <t>["BI-002_chunk_001","BI-002_chunk_002"]</t>
  </si>
  <si>
    <t>UN-Q029</t>
  </si>
  <si>
    <t>미수령금이 뭔가요?</t>
  </si>
  <si>
    <t>고객 미수령금</t>
  </si>
  <si>
    <t>unclaimed_funds</t>
  </si>
  <si>
    <t>["https://www.kdic.or.kr/sp/dpstrprot/ProtSystNramtInqAplyNramtGudn/selectScrn.do"]</t>
  </si>
  <si>
    <t>["UN-001_chunk_001"]</t>
  </si>
  <si>
    <t>UN-Q030</t>
  </si>
  <si>
    <t>미수령금은 인터넷으로 신청할 수 있나요?</t>
  </si>
  <si>
    <t>["https://fins.kdic.or.kr/ua/aplygudn/NramtItgrAplyItrdMthdGudn/selectScrn.do"]</t>
  </si>
  <si>
    <t>["UN-003_chunk_006"]</t>
  </si>
  <si>
    <t>UN-Q031</t>
  </si>
  <si>
    <t>방문 신청은 어디서 하나요?</t>
  </si>
  <si>
    <t>미선택</t>
  </si>
  <si>
    <t>["UN-003_chunk_007"]</t>
  </si>
  <si>
    <t>UN-Q032</t>
  </si>
  <si>
    <t>명의가 변경된 경우 미수령금은 어떻게 문의하나요?</t>
  </si>
  <si>
    <t>["https://fins.kdic.or.kr/ua/aplygudn/DpstrTrgtTelQustGudn/selectScrn.do"]</t>
  </si>
  <si>
    <t>["UN-002_chunk_000"]</t>
  </si>
  <si>
    <t>UN-Q033</t>
  </si>
  <si>
    <t>미수령금 관련 전화상담은 어디로 하나요?</t>
  </si>
  <si>
    <t>UN-Q034</t>
  </si>
  <si>
    <t>미수령금에는 어떤 종류가 있나요?</t>
  </si>
  <si>
    <t>["UN-003_chunk_001","UN-003_chunk_002","UN-003_chunk_003","UN-003_chunk_004","UN-003_chunk_005"]</t>
  </si>
  <si>
    <t>UN-Q035</t>
  </si>
  <si>
    <t>온라인과 오프라인 신청 방법의 차이가 뭔가요?</t>
  </si>
  <si>
    <t>["UN-003_chunk_006","UN-003_chunk_007"]</t>
  </si>
  <si>
    <t>UN-Q036</t>
  </si>
  <si>
    <t>돌아가신 부모님 명의의 미수령금을 자녀가 조회할 수 있나요?</t>
  </si>
  <si>
    <t>["https://www.kdic.or.kr/sp/dpstrprot/ProtSystHrpeHistInq/selectScrn.do"]</t>
  </si>
  <si>
    <t>["UN-004_chunk_000"]</t>
  </si>
  <si>
    <t>["UN-004_chunk_002"]</t>
  </si>
  <si>
    <t>["UN-004_chunk_000","UN-004_chunk_002"]</t>
  </si>
  <si>
    <t>UN-Q037</t>
  </si>
  <si>
    <t>상속인 금융거래 조회는 어떻게 신청하나요?</t>
  </si>
  <si>
    <t>["UN-004_chunk_001"]</t>
  </si>
  <si>
    <t>["UN-004_chunk_001","UN-004_chunk_000","UN-004_chunk_002"]</t>
  </si>
  <si>
    <t>UN-Q129</t>
  </si>
  <si>
    <t>Q129</t>
  </si>
  <si>
    <t>미수령금의 종류는 뭐뭐 있어?</t>
  </si>
  <si>
    <t>UN-Q130</t>
  </si>
  <si>
    <t>Q130</t>
  </si>
  <si>
    <t>돈을 받을 수 있는 은행이 어떤 게 있어?</t>
  </si>
  <si>
    <t>UN-Q131</t>
  </si>
  <si>
    <t>Q131</t>
  </si>
  <si>
    <t>금융회사가 내 돈을 안 주고 있는데 받을 수 있는 방법이 있어?</t>
  </si>
  <si>
    <t>UN-Q132</t>
  </si>
  <si>
    <t>Q132</t>
  </si>
  <si>
    <t>전화로 문의하고 싶은데 번호 좀 알려줘</t>
  </si>
  <si>
    <t>UN-Q133</t>
  </si>
  <si>
    <t>Q133</t>
  </si>
  <si>
    <t>미수령금 지급 시 이자소득세가 원천징수되나요?</t>
  </si>
  <si>
    <t>["DP-006_chunk_013"]</t>
  </si>
  <si>
    <t>UN-Q134</t>
  </si>
  <si>
    <t>Q134</t>
  </si>
  <si>
    <t>해외 거주 재외국민도 온라인으로 미수령금을 신청할 수 있나요?</t>
  </si>
  <si>
    <t>["DP-005_chunk_023","DP-005_chunk_024"]</t>
  </si>
  <si>
    <t>["UN-003_chunk_006","DP-005_chunk_033","BI-002_chunk_002"]</t>
  </si>
  <si>
    <t>["DP-005_chunk_023","DP-005_chunk_024","UN-003_chunk_006","DP-005_chunk_033","BI-002_chunk_002"]</t>
  </si>
  <si>
    <t>UN-Q135</t>
  </si>
  <si>
    <t>Q135</t>
  </si>
  <si>
    <t>법인 명의로 남아있는 미수령금도 조회·신청이 가능한가요?</t>
  </si>
  <si>
    <t>["DP-006_chunk_012","MT-008_chunk_002"]</t>
  </si>
  <si>
    <t>UN-Q136</t>
  </si>
  <si>
    <t>Q136</t>
  </si>
  <si>
    <t>미수령금에 이자가 붙나요? 붙는다면 어느 시점까지 계산되나요?</t>
  </si>
  <si>
    <t>["DP-005_chunk_030","DP-005_chunk_031"]</t>
  </si>
  <si>
    <t>UN-Q137</t>
  </si>
  <si>
    <t>Q137</t>
  </si>
  <si>
    <t>외화예금으로 남아있는 미수령금은 어느 시점 환율로 환산해서 지급하나요?</t>
  </si>
  <si>
    <t>["DP-006_chunk_005"]</t>
  </si>
  <si>
    <t>UN-Q138</t>
  </si>
  <si>
    <t>Q138</t>
  </si>
  <si>
    <t>이미 폐업한 저축은행의 미수령금도 예금보험공사가 대신 지급하나요?</t>
  </si>
  <si>
    <t>["https://www.kdic.or.kr/sp/dpstrprot/DpsmIbamtExpln/selectScrn.do","https://www.kdic.or.kr/sp/dpstrprot/selectProtSystBamtGiveTrgtFnst.do","https://fins.kdic.or.kr/ua/aplygudn/NramtItgrAplyItrdMthdGudn/selectScrn.do"]</t>
  </si>
  <si>
    <t>["BI-003_chunk_000","BI-003_chunk_001","BI-003_chunk_003","BI-003_chunk_006","UN-001_chunk_002","UN-001_chunk_003"]</t>
  </si>
  <si>
    <t>UN-Q139</t>
  </si>
  <si>
    <t>Q139</t>
  </si>
  <si>
    <t>공동명의 계좌 미수령금은 명의자 중 한 명만 신청해도 지급되나요?</t>
  </si>
  <si>
    <t>UN-Q140</t>
  </si>
  <si>
    <t>Q140</t>
  </si>
  <si>
    <t>여러 은행에 흩어져 있는 미수령금을 한 번에 통합 조회할 수 있어?</t>
  </si>
  <si>
    <t>UN-Q141</t>
  </si>
  <si>
    <t>Q141</t>
  </si>
  <si>
    <t>조회했는데 못 받은 돈 나오면 바로 통장에 들어와? 돈 들어오기까지 얼마나 걸려?</t>
  </si>
  <si>
    <t>["DP-005_chunk_033"]</t>
  </si>
  <si>
    <t>UN-Q142</t>
  </si>
  <si>
    <t>Q142</t>
  </si>
  <si>
    <t>부모님이 이런걸 잘 못해서 내가 대신해서 찾을 수 있어?</t>
  </si>
  <si>
    <t>["https://www.kdic.or.kr/sp/dpstrprot/DpsmIbamtAplyPossDcmnt/selectScrn.do","https://www.kdic.or.kr/sp/dpstrprot/ProtSystHrpeHistInq/selectScrn.do"]</t>
  </si>
  <si>
    <t>["BI-001_chunk_001","MT-008_chunk_001","MT-008_chunk_010","DA-001_chunk_002","DA-004_chunk_009","DA-007_chunk_003"]</t>
  </si>
  <si>
    <t>UN-Q143</t>
  </si>
  <si>
    <t>Q143</t>
  </si>
  <si>
    <t>이름 변경한 사람도 조회 가능해?</t>
  </si>
  <si>
    <t>["https://fins.kdic.or.kr/ua/aplygudn/DpstrTrgtTelQustGudn/selectScrn.do","https://fins.kdic.or.kr/cm/bbs/selectFaqNramtAply.do"]</t>
  </si>
  <si>
    <t>UN-Q144</t>
  </si>
  <si>
    <t>Q144</t>
  </si>
  <si>
    <t>이거 갑자기 돈 준다니까 좀 의심스러운데, 사기 아니죠?</t>
  </si>
  <si>
    <t>UN-Q145</t>
  </si>
  <si>
    <t>Q145</t>
  </si>
  <si>
    <t>돈 안찾아간 거 있는지 어떻게 확인해?</t>
  </si>
  <si>
    <t>UN-Q146</t>
  </si>
  <si>
    <t>Q146</t>
  </si>
  <si>
    <t>회사가 부도나서 돈을 못 받았는데 어떻게 받아?</t>
  </si>
  <si>
    <t>MT-Q038</t>
  </si>
  <si>
    <t>착오송금 반환지원 제도가 뭔가요?</t>
  </si>
  <si>
    <t>착오송금 반환지원</t>
  </si>
  <si>
    <t>mistaken_transfer</t>
  </si>
  <si>
    <t>["https://www.kdic.or.kr/sp/kmrs/kmrsItrd/selectScrn.do"]</t>
  </si>
  <si>
    <t>["MT-001_chunk_000"]</t>
  </si>
  <si>
    <t>MT-Q039</t>
  </si>
  <si>
    <t>Q039</t>
  </si>
  <si>
    <t>착오송금 반환지원 제도는 왜 운영되나요?</t>
  </si>
  <si>
    <t>MT-Q040</t>
  </si>
  <si>
    <t>Q040</t>
  </si>
  <si>
    <t>착오송금 반환지원은 어떤 절차로 진행되나요?</t>
  </si>
  <si>
    <t>["https://www.kdic.or.kr/sp/kmrs/kmrsItrdProc/selectScrn.do"]</t>
  </si>
  <si>
    <t>["MT-002_chunk_000"]</t>
  </si>
  <si>
    <t>MT-Q041</t>
  </si>
  <si>
    <t>Q041</t>
  </si>
  <si>
    <t>신청부터 돈을 돌려받기까지 몇 단계인가요?</t>
  </si>
  <si>
    <t>MT-Q042</t>
  </si>
  <si>
    <t>Q042</t>
  </si>
  <si>
    <t>착오송금 반환지원은 어디서 신청하나요?</t>
  </si>
  <si>
    <t>["https://www.kdic.or.kr/sp/kmrs/kmrsItrdAplyMthd/selectScrn.do"]</t>
  </si>
  <si>
    <t>["MT-003_chunk_000"]</t>
  </si>
  <si>
    <t>["MT-011_chunk_000"]</t>
  </si>
  <si>
    <t>["MT-003_chunk_000","MT-011_chunk_000"]</t>
  </si>
  <si>
    <t>MT-Q043</t>
  </si>
  <si>
    <t>Q043</t>
  </si>
  <si>
    <t>인터넷 신청과 방문 신청 중 뭐가 더 빠른가요?</t>
  </si>
  <si>
    <t>["MT-004_chunk_005"]</t>
  </si>
  <si>
    <t>MT-Q044</t>
  </si>
  <si>
    <t>Q044</t>
  </si>
  <si>
    <t>착오송금 얼마부터 반환지원 신청이 가능한가요?</t>
  </si>
  <si>
    <t>["https://fins.kdic.or.kr/cm/bbs/selectFaqMsdrGvbkAply.do"]</t>
  </si>
  <si>
    <t>["MT-004_chunk_000"]</t>
  </si>
  <si>
    <t>MT-Q045</t>
  </si>
  <si>
    <t>Q045</t>
  </si>
  <si>
    <t>신청 가능한 기간은 언제까지인가요?</t>
  </si>
  <si>
    <t>["MT-004_chunk_011"]</t>
  </si>
  <si>
    <t>MT-Q046</t>
  </si>
  <si>
    <t>Q046</t>
  </si>
  <si>
    <t>반환지원을 받을 수 없는 경우는 어떤 경우인가요?</t>
  </si>
  <si>
    <t>["MT-004_chunk_001"]</t>
  </si>
  <si>
    <t>MT-Q047</t>
  </si>
  <si>
    <t>Q047</t>
  </si>
  <si>
    <t>착오송금 반환지원에 대해 가장 많이 묻는 질문이 뭔가요?</t>
  </si>
  <si>
    <t>["https://fins.kdic.or.kr/cm/bbs/selectFaqTop10.do"]</t>
  </si>
  <si>
    <t>["MT-005_chunk_000","MT-005_chunk_001","MT-005_chunk_002","MT-005_chunk_003","MT-005_chunk_004","MT-005_chunk_005","MT-005_chunk_006","MT-005_chunk_007","MT-005_chunk_008","MT-005_chunk_009"]</t>
  </si>
  <si>
    <t>MT-Q048</t>
  </si>
  <si>
    <t>Q048</t>
  </si>
  <si>
    <t>자주 묻는 착오송금 질문 알려주세요</t>
  </si>
  <si>
    <t>MT-Q049</t>
  </si>
  <si>
    <t>Q049</t>
  </si>
  <si>
    <t>착오송금을 잘못 받은 사람인데, 자진반환 기한이 있나요?</t>
  </si>
  <si>
    <t>["https://fins.kdic.or.kr/ir/addrse/AddrseAttnMttr/selectScrn.do"]</t>
  </si>
  <si>
    <t>["MT-006_chunk_000"]</t>
  </si>
  <si>
    <t>["MT-007_chunk_000"]</t>
  </si>
  <si>
    <t>["MT-006_chunk_000","MT-007_chunk_000"]</t>
  </si>
  <si>
    <t>MT-Q050</t>
  </si>
  <si>
    <t>Q050</t>
  </si>
  <si>
    <t>반환에 동의하지 않으면 어떻게 되나요?</t>
  </si>
  <si>
    <t>MT-Q051</t>
  </si>
  <si>
    <t>Q051</t>
  </si>
  <si>
    <t>이체수수료는 돌려받을 수 있나요?</t>
  </si>
  <si>
    <t>MT-Q052</t>
  </si>
  <si>
    <t>Q052</t>
  </si>
  <si>
    <t>착오송금 수취인이 이의를 제기하려면 무슨 서류가 필요한가요?</t>
  </si>
  <si>
    <t>["https://fins.kdic.or.kr/ir/aplygudn/MsdrAddrsePossDcmntGudn/selectScrn.do"]</t>
  </si>
  <si>
    <t>MT-Q053</t>
  </si>
  <si>
    <t>Q053</t>
  </si>
  <si>
    <t>이체수수료 환급 신청서는 어디서 받나요?</t>
  </si>
  <si>
    <t>MT-Q054</t>
  </si>
  <si>
    <t>Q054</t>
  </si>
  <si>
    <t>법인을 대리해 착오송금 반환지원을 신청할 때 추가로 필요한 서류는 무엇인가요?</t>
  </si>
  <si>
    <t>["https://fins.kdic.or.kr/ir/aplygudn/MsdrprPossDcmntGudn/selectScrn.do"]</t>
  </si>
  <si>
    <t>["MT-008_chunk_002"]</t>
  </si>
  <si>
    <t>MT-Q055</t>
  </si>
  <si>
    <t>Q055</t>
  </si>
  <si>
    <t>대리인이 신청할 때 구비서류가 다른가요?</t>
  </si>
  <si>
    <t>["MT-008_chunk_000","MT-008_chunk_001"]</t>
  </si>
  <si>
    <t>MT-Q056</t>
  </si>
  <si>
    <t>Q056</t>
  </si>
  <si>
    <t>착오송금 반환지원 절차를 쉽게 설명해주세요</t>
  </si>
  <si>
    <t>["https://fins.kdic.or.kr/ir/aplygudn/MtrsGvbkSprtProc/selectScrn.do"]</t>
  </si>
  <si>
    <t>["MT-009_chunk_000"]</t>
  </si>
  <si>
    <t>MT-Q057</t>
  </si>
  <si>
    <t>Q057</t>
  </si>
  <si>
    <t>신청하면 어떤 순서로 돈을 돌려받게 되나요?</t>
  </si>
  <si>
    <t>MT-Q058</t>
  </si>
  <si>
    <t>Q058</t>
  </si>
  <si>
    <t>착오송금 반환지원의 법적 근거가 뭔가요?</t>
  </si>
  <si>
    <t>["https://fins.kdic.or.kr/ir/aplygudn/MtrsRelLawoRgul/selectScrn.do"]</t>
  </si>
  <si>
    <t>["MT-010_chunk_000","MT-010_chunk_001"]</t>
  </si>
  <si>
    <t>["MT-010_chunk_002","MT-010_chunk_003"]</t>
  </si>
  <si>
    <t>["MT-010_chunk_000","MT-010_chunk_001","MT-010_chunk_002","MT-010_chunk_003"]</t>
  </si>
  <si>
    <t>MT-Q059</t>
  </si>
  <si>
    <t>Q059</t>
  </si>
  <si>
    <t>관련 규정을 어디서 볼 수 있나요?</t>
  </si>
  <si>
    <t>MT-Q060</t>
  </si>
  <si>
    <t>Q060</t>
  </si>
  <si>
    <t>저는 잘못 보낸 사람인데 어디서 신청해야 하나요?</t>
  </si>
  <si>
    <t>["https://fins.kdic.or.kr/ir/aplygudn/MtrsStutChc/selectScrn.do"]</t>
  </si>
  <si>
    <t>MT-Q061</t>
  </si>
  <si>
    <t>Q061</t>
  </si>
  <si>
    <t>잘못 받은 사람 입장에서는 어떤 메뉴로 가야 하나요?</t>
  </si>
  <si>
    <t>MT-Q062</t>
  </si>
  <si>
    <t>Q062</t>
  </si>
  <si>
    <t>방문 접수는 어디서 하나요?</t>
  </si>
  <si>
    <t>["https://fins.kdic.or.kr/ir/aplygudn/MtrsVstRcptGudn/selectScrn.do"]</t>
  </si>
  <si>
    <t>["MT-012_chunk_000"]</t>
  </si>
  <si>
    <t>MT-Q063</t>
  </si>
  <si>
    <t>Q063</t>
  </si>
  <si>
    <t>본사 운영시간이 어떻게 되나요?</t>
  </si>
  <si>
    <t>["MT-012_chunk_001"]</t>
  </si>
  <si>
    <t>MT-Q064</t>
  </si>
  <si>
    <t>Q064</t>
  </si>
  <si>
    <t>얼마까지 착오송금 반환지원을 신청할 수 있나요?</t>
  </si>
  <si>
    <t>["https://fins.kdic.or.kr/ir/msdrpr/MsdrprAttnMttr/selectScrn.do"]</t>
  </si>
  <si>
    <t>["MT-013_chunk_000"]</t>
  </si>
  <si>
    <t>["MT-013_chunk_002"]</t>
  </si>
  <si>
    <t>["MT-013_chunk_000","MT-013_chunk_002"]</t>
  </si>
  <si>
    <t>MT-Q065</t>
  </si>
  <si>
    <t>Q065</t>
  </si>
  <si>
    <t>신청 대상에서 제외되는 경우는 뭔가요?</t>
  </si>
  <si>
    <t>["MT-013_chunk_002","MT-013_chunk_000"]</t>
  </si>
  <si>
    <t>MT-Q066</t>
  </si>
  <si>
    <t>Q066</t>
  </si>
  <si>
    <t>비용은 어느 정도 차감되나요?</t>
  </si>
  <si>
    <t>["MT-013_chunk_002","MT-013_chunk_001"]</t>
  </si>
  <si>
    <t>MT-Q067</t>
  </si>
  <si>
    <t>Q067</t>
  </si>
  <si>
    <t>제가 반환지원 신청대상인지 어떻게 확인하나요?</t>
  </si>
  <si>
    <t>["https://fins.kdic.or.kr/ir/msdrpr/selectAplyQlfcIdntyRslt.do"]</t>
  </si>
  <si>
    <t>["MT-013_chunk_000","MT-013_chunk_002","MT-011_chunk_000"]</t>
  </si>
  <si>
    <t>MT-Q068</t>
  </si>
  <si>
    <t>Q068</t>
  </si>
  <si>
    <t>신청대상 여부를 체크하는 항목이 몇 개인가요?</t>
  </si>
  <si>
    <t>MT-Q069</t>
  </si>
  <si>
    <t>Q069</t>
  </si>
  <si>
    <t>착오송금 신청 가능한 금액 범위가 어떻게 되나요?</t>
  </si>
  <si>
    <t>["https://www.kdic.or.kr/sp/kmrs/kmrsItrdAplyTrgt/selectScrn.do"]</t>
  </si>
  <si>
    <t>["MT-015_chunk_000"]</t>
  </si>
  <si>
    <t>MT-Q070</t>
  </si>
  <si>
    <t>Q070</t>
  </si>
  <si>
    <t>신청기한이 지나면 어떻게 되나요?</t>
  </si>
  <si>
    <t>["MT-015_chunk_001"]</t>
  </si>
  <si>
    <t>MT-Q108</t>
  </si>
  <si>
    <t>Q108</t>
  </si>
  <si>
    <t>제가 계좌 잘못 눌러서 다른 사람한테 돈 보냈는데 이거 예금보호 되나요?</t>
  </si>
  <si>
    <t>["https://www.kdic.or.kr/sp/kmrs/kmrsItrdAplyTrgt/selectScrn.do","https://www.kdic.or.kr/sp/dpstrprot/ProtSyst/selectScrn.do"]</t>
  </si>
  <si>
    <t>["MT-015_chunk_002","DP-002_chunk_002"]</t>
  </si>
  <si>
    <t>["MT-015_chunk_002","DP-002_chunk_002","MT-015_chunk_000"]</t>
  </si>
  <si>
    <t>MT-Q109</t>
  </si>
  <si>
    <t>Q109</t>
  </si>
  <si>
    <t>착오송금이랑 보이스피싱 당한 거랑 같은 절차인가요?</t>
  </si>
  <si>
    <t>["MT-004_chunk_006"]</t>
  </si>
  <si>
    <t>MT-Q127</t>
  </si>
  <si>
    <t>Q127</t>
  </si>
  <si>
    <t>ㅋㅋ 근데 착오송금 반환 얼마나 걸려요?</t>
  </si>
  <si>
    <t>["MT-005_chunk_000"]</t>
  </si>
  <si>
    <t>DA-Q071</t>
  </si>
  <si>
    <t>Q071</t>
  </si>
  <si>
    <t>채무조정 신청자격이 어떻게 되나요?</t>
  </si>
  <si>
    <t>채무조정</t>
  </si>
  <si>
    <t>debt_adjustment</t>
  </si>
  <si>
    <t>["https://www.kdic.or.kr/rb/lbltajmt/LbltAjmtSprtLbltAjmtSyst/selectScrn.do"]</t>
  </si>
  <si>
    <t>["DA-001_chunk_001"]</t>
  </si>
  <si>
    <t>DA-Q072</t>
  </si>
  <si>
    <t>Q072</t>
  </si>
  <si>
    <t>채무조정을 신청할 수 없는 경우는 뭔가요?</t>
  </si>
  <si>
    <t>["DA-001_chunk_003"]</t>
  </si>
  <si>
    <t>DA-Q073</t>
  </si>
  <si>
    <t>Q073</t>
  </si>
  <si>
    <t>채무조정 신청 시 필요한 서류가 뭔가요?</t>
  </si>
  <si>
    <t>["DA-001_chunk_002"]</t>
  </si>
  <si>
    <t>DA-Q074</t>
  </si>
  <si>
    <t>Q074</t>
  </si>
  <si>
    <t>제가 파산금융회사에 채무가 있는지 온라인으로 확인할 수 있나요?</t>
  </si>
  <si>
    <t>["https://www.kdic.or.kr/rb/lbltajmt/LbltAjmtSprtLbltInfoInqDscsnAply/selectScrn.do"]</t>
  </si>
  <si>
    <t>["DA-002_chunk_000"]</t>
  </si>
  <si>
    <t>DA-Q075</t>
  </si>
  <si>
    <t>Q075</t>
  </si>
  <si>
    <t>채무조정 상담은 어떻게 신청하나요?</t>
  </si>
  <si>
    <t>["DA-002_chunk_001"]</t>
  </si>
  <si>
    <t>["DA-002_chunk_002"]</t>
  </si>
  <si>
    <t>["DA-002_chunk_001","DA-002_chunk_002"]</t>
  </si>
  <si>
    <t>DA-Q076</t>
  </si>
  <si>
    <t>Q076</t>
  </si>
  <si>
    <t>채무조정으로 최대 얼마까지 감면받을 수 있나요?</t>
  </si>
  <si>
    <t>["https://www.kdic.or.kr/di/relsite/PbcrKrncLblarb/selectScrn.do"]</t>
  </si>
  <si>
    <t>["DA-003_chunk_005"]</t>
  </si>
  <si>
    <t>DA-Q077</t>
  </si>
  <si>
    <t>Q077</t>
  </si>
  <si>
    <t>주채무자와 보증채무자의 감면율이 다른가요?</t>
  </si>
  <si>
    <t>DA-Q078</t>
  </si>
  <si>
    <t>Q078</t>
  </si>
  <si>
    <t>KR&amp;C 채무조정과 신용회복위원회 채무조정은 뭐가 다른가요?</t>
  </si>
  <si>
    <t>["DA-003_chunk_006"]</t>
  </si>
  <si>
    <t>DA-Q079</t>
  </si>
  <si>
    <t>Q079</t>
  </si>
  <si>
    <t>신용회복위원회를 통한 지원은 어떤 건가요?</t>
  </si>
  <si>
    <t>["https://www.kdic.or.kr/rb/lbltajmt/LbltAjmtSprtCredRcvrySprt/selectScrn.do"]</t>
  </si>
  <si>
    <t>["DA-004_chunk_000","DA-004_chunk_005"]</t>
  </si>
  <si>
    <t>["DA-004_chunk_002","DA-004_chunk_003","DA-004_chunk_004"]</t>
  </si>
  <si>
    <t>["DA-004_chunk_000","DA-004_chunk_005","DA-004_chunk_002","DA-004_chunk_003","DA-004_chunk_004"]</t>
  </si>
  <si>
    <t>DA-Q080</t>
  </si>
  <si>
    <t>Q080</t>
  </si>
  <si>
    <t>예금보험공사 채무조정과 신용회복지원은 다른 건가요?</t>
  </si>
  <si>
    <t>["https://www.kdic.or.kr/rb/lbltajmt/LbltAjmtSprtCredRcvrySprt/selectScrn.do","https://www.kdic.or.kr/rb/lbltajmt/LbltAjmtSprtLbltAjmtSyst/selectScrn.do"]</t>
  </si>
  <si>
    <t>["DA-004_chunk_001","DA-001_chunk_000"]</t>
  </si>
  <si>
    <t>DA-Q081</t>
  </si>
  <si>
    <t>Q081</t>
  </si>
  <si>
    <t>개인파산은 어떻게 신청하나요?</t>
  </si>
  <si>
    <t>["https://www.kdic.or.kr/rb/lbltajmt/LbltAjmtSprtPsnBr/selectScrn.do"]</t>
  </si>
  <si>
    <t>["DA-005_chunk_002","DA-005_chunk_003"]</t>
  </si>
  <si>
    <t>DA-Q082</t>
  </si>
  <si>
    <t>Q082</t>
  </si>
  <si>
    <t>파산면책을 받으면 채무가 모두 없어지나요?</t>
  </si>
  <si>
    <t>["DA-005_chunk_000","DA-005_chunk_005","DA-005_chunk_006"]</t>
  </si>
  <si>
    <t>DA-Q083</t>
  </si>
  <si>
    <t>Q083</t>
  </si>
  <si>
    <t>개인회생 절차는 어떻게 되나요?</t>
  </si>
  <si>
    <t>["https://www.kdic.or.kr/rb/lbltajmt/LbltAjmtSprtPsnRg/selectScrn.do"]</t>
  </si>
  <si>
    <t>["DA-006_chunk_010"]</t>
  </si>
  <si>
    <t>DA-Q084</t>
  </si>
  <si>
    <t>Q084</t>
  </si>
  <si>
    <t>개인회생은 몇 년간 분할상환하나요?</t>
  </si>
  <si>
    <t>["DA-006_chunk_003"]</t>
  </si>
  <si>
    <t>DA-Q085</t>
  </si>
  <si>
    <t>Q085</t>
  </si>
  <si>
    <t>부채증명원은 어떻게 발급받나요?</t>
  </si>
  <si>
    <t>["https://www.kdic.or.kr/sp/sprtfund/SprtFndDebtDlngAplyGudn/selectScrn.do"]</t>
  </si>
  <si>
    <t>["DA-007_chunk_002","DA-007_chunk_004"]</t>
  </si>
  <si>
    <t>DA-Q086</t>
  </si>
  <si>
    <t>Q086</t>
  </si>
  <si>
    <t>금융거래정보신청은 어디서 하나요?</t>
  </si>
  <si>
    <t>["DA-007_chunk_002"]</t>
  </si>
  <si>
    <t>DA-Q087</t>
  </si>
  <si>
    <t>Q087</t>
  </si>
  <si>
    <t>휴대폰 인증만으로 채무정보를 조회할 수 있나요?</t>
  </si>
  <si>
    <t>["https://fins.kdic.or.kr/cm/bbs/selectFaqLbltInfoInq.do"]</t>
  </si>
  <si>
    <t>["DA-008_chunk_000"]</t>
  </si>
  <si>
    <t>HA-Q093</t>
  </si>
  <si>
    <t>Q093</t>
  </si>
  <si>
    <t>횡령이나 배임도 은닉재산 신고센터에 신고하나요?</t>
  </si>
  <si>
    <t>은닉재산 신고</t>
  </si>
  <si>
    <t>hidden_assets_report</t>
  </si>
  <si>
    <t>["https://www.kdic.or.kr/sp/sprtfund/SprtFndIvsfalUnrlIlglDclrGudn/selectScrn.do"]</t>
  </si>
  <si>
    <t>["HP-003_chunk_000"]</t>
  </si>
  <si>
    <t>["HP-003_chunk_001"]</t>
  </si>
  <si>
    <t>["HP-003_chunk_000","HP-003_chunk_001"]</t>
  </si>
  <si>
    <t>HA-Q094</t>
  </si>
  <si>
    <t>Q094</t>
  </si>
  <si>
    <t>은닉재산 신고와 불법행위 신고는 어떻게 다른가요?</t>
  </si>
  <si>
    <t>HA-Q095</t>
  </si>
  <si>
    <t>Q095</t>
  </si>
  <si>
    <t>제가 신고한 건의 조사 진행상황을 확인할 수 있나요?</t>
  </si>
  <si>
    <t>OOS-Q096</t>
  </si>
  <si>
    <t>Q096</t>
  </si>
  <si>
    <t>국민연금은 언제부터 받을 수 있나요?</t>
  </si>
  <si>
    <t>out_of_scope</t>
  </si>
  <si>
    <t>OOS-Q097</t>
  </si>
  <si>
    <t>Q097</t>
  </si>
  <si>
    <t>실업급여는 어떻게 신청하나요?</t>
  </si>
  <si>
    <t>OOS-Q098</t>
  </si>
  <si>
    <t>Q098</t>
  </si>
  <si>
    <t>국세청 세금 환급은 어디서 신청해요?</t>
  </si>
  <si>
    <t>OOS-Q099</t>
  </si>
  <si>
    <t>Q099</t>
  </si>
  <si>
    <t>지금 예금 어디에 넣는 게 제일 이자 높아요?</t>
  </si>
  <si>
    <t>OOS-Q100</t>
  </si>
  <si>
    <t>Q100</t>
  </si>
  <si>
    <t>저축은행 중에 안전한 곳 추천해주세요</t>
  </si>
  <si>
    <t>OOS-Q101</t>
  </si>
  <si>
    <t>Q101</t>
  </si>
  <si>
    <t>어떤 보험상품이 좋나요?</t>
  </si>
  <si>
    <t>OOS-Q102</t>
  </si>
  <si>
    <t>Q102</t>
  </si>
  <si>
    <t>이 계약이 사기인지 아닌지 판단해주세요</t>
  </si>
  <si>
    <t>OOS-Q103</t>
  </si>
  <si>
    <t>Q103</t>
  </si>
  <si>
    <t>저 소송 걸어도 되나요?</t>
  </si>
  <si>
    <t>OOS-Q104</t>
  </si>
  <si>
    <t>Q104</t>
  </si>
  <si>
    <t>변호사 없이 이길 수 있나요?</t>
  </si>
  <si>
    <t>OOS-Q105</t>
  </si>
  <si>
    <t>Q105</t>
  </si>
  <si>
    <t>제 계좌 비밀번호 좀 찾아주세요</t>
  </si>
  <si>
    <t>OOS-Q106</t>
  </si>
  <si>
    <t>Q106</t>
  </si>
  <si>
    <t>제 미수령금이 얼마인지 바로 알려주세요</t>
  </si>
  <si>
    <t>OOS-Q107</t>
  </si>
  <si>
    <t>Q107</t>
  </si>
  <si>
    <t>제 이름으로 등록된 계좌 다 보여주세요</t>
  </si>
  <si>
    <t>OOS-Q110</t>
  </si>
  <si>
    <t>Q110</t>
  </si>
  <si>
    <t>너 어떤 AI 모델이야?</t>
  </si>
  <si>
    <t>OOS-Q111</t>
  </si>
  <si>
    <t>Q111</t>
  </si>
  <si>
    <t>이 챗봇 누가 만들었어?</t>
  </si>
  <si>
    <t>OOS-Q112</t>
  </si>
  <si>
    <t>Q112</t>
  </si>
  <si>
    <t>2020년 예금보호한도는 얼마였나요?</t>
  </si>
  <si>
    <t>OOS-Q113</t>
  </si>
  <si>
    <t>Q113</t>
  </si>
  <si>
    <t>예전 착오송금 제도는 어땠나요?</t>
  </si>
  <si>
    <t>OOS-Q122</t>
  </si>
  <si>
    <t>Q122</t>
  </si>
  <si>
    <t>오늘 날씨 어때?</t>
  </si>
  <si>
    <t>UNK-Q114</t>
  </si>
  <si>
    <t>Q114</t>
  </si>
  <si>
    <t>ㅋㅋㅋ</t>
  </si>
  <si>
    <t>unknown</t>
  </si>
  <si>
    <t>UNK-Q115</t>
  </si>
  <si>
    <t>Q115</t>
  </si>
  <si>
    <t>하하하</t>
  </si>
  <si>
    <t>UNK-Q116</t>
  </si>
  <si>
    <t>Q116</t>
  </si>
  <si>
    <t>ㅇㅇ</t>
  </si>
  <si>
    <t>UNK-Q117</t>
  </si>
  <si>
    <t>Q117</t>
  </si>
  <si>
    <t>ㅁㄴㅇㄹ</t>
  </si>
  <si>
    <t>UNK-Q118</t>
  </si>
  <si>
    <t>Q118</t>
  </si>
  <si>
    <t>도와줘</t>
  </si>
  <si>
    <t>UNK-Q119</t>
  </si>
  <si>
    <t>Q119</t>
  </si>
  <si>
    <t>뭐해</t>
  </si>
  <si>
    <t>UNK-Q120</t>
  </si>
  <si>
    <t>Q120</t>
  </si>
  <si>
    <t>궁금한 게 있어요</t>
  </si>
  <si>
    <t>UNK-Q121</t>
  </si>
  <si>
    <t>Q121</t>
  </si>
  <si>
    <t>안녕</t>
  </si>
  <si>
    <t>UNK-Q123</t>
  </si>
  <si>
    <t>Q123</t>
  </si>
  <si>
    <t>심심해</t>
  </si>
  <si>
    <t>UNK-Q124</t>
  </si>
  <si>
    <t>Q124</t>
  </si>
  <si>
    <t>(비속어 포함 불만 표현)</t>
  </si>
  <si>
    <t>UNK-Q125</t>
  </si>
  <si>
    <t>Q125</t>
  </si>
  <si>
    <t>같은 질문을 여러 번 연속으로</t>
  </si>
  <si>
    <t>UNK-Q126</t>
  </si>
  <si>
    <t>Q126</t>
  </si>
  <si>
    <t>무작위 문자 나열</t>
  </si>
  <si>
    <t>검색 품질 평가 데이터셋 안내</t>
  </si>
  <si>
    <t>검색평가용 시트는 검색 지표 계산에 필요한 질문·도메인·출처·Gold 청크만 정리한 실행용 데이터입니다.</t>
  </si>
  <si>
    <t>평가지표</t>
  </si>
  <si>
    <t>K</t>
  </si>
  <si>
    <t>사용 Gold</t>
  </si>
  <si>
    <t>계산 기준</t>
  </si>
  <si>
    <t>적용 메모</t>
  </si>
  <si>
    <t>Hit@K</t>
  </si>
  <si>
    <t>Top-3에 Gold 청크가 1개 이상 있으면 1</t>
  </si>
  <si>
    <t>검색평가대상=Y</t>
  </si>
  <si>
    <t>Recall@K</t>
  </si>
  <si>
    <t>Top-5에서 찾은 Gold 수 ÷ 전체 Gold 수</t>
  </si>
  <si>
    <t>다중 근거 회수율 확인</t>
  </si>
  <si>
    <t>MRR@K</t>
  </si>
  <si>
    <t>첫 번째 Gold 청크 순위의 역수</t>
  </si>
  <si>
    <t>빠른 최초 적중 평가</t>
  </si>
  <si>
    <t>MAP@K</t>
  </si>
  <si>
    <t>Gold 청크가 등장할 때마다 Precision을 평균</t>
  </si>
  <si>
    <t>여러 Gold의 순위 품질</t>
  </si>
  <si>
    <t>Complete@K</t>
  </si>
  <si>
    <t>모든 주요 Gold가 Top-5에 포함되면 1</t>
  </si>
  <si>
    <t>multi_chunk_required=Y이며 주요 Gold 수≤5</t>
  </si>
  <si>
    <t>nDCG@K</t>
  </si>
  <si>
    <t>primary=2 / supporting=1</t>
  </si>
  <si>
    <t>관련도 등급과 순위를 함께 반영</t>
  </si>
  <si>
    <t>주요·보조 청크 구분 사용</t>
  </si>
  <si>
    <t>Precision@K</t>
  </si>
  <si>
    <t>Top-5 중 Gold 청크 수 ÷ 5</t>
  </si>
  <si>
    <t>불필요한 청크 혼입 확인</t>
  </si>
  <si>
    <t>F1@K</t>
  </si>
  <si>
    <t>Precision@5·Recall@5</t>
  </si>
  <si>
    <t>2×P×R ÷ (P+R)</t>
  </si>
  <si>
    <t>P+R=0이면 0</t>
  </si>
  <si>
    <t>칼럼</t>
  </si>
  <si>
    <t>용도</t>
  </si>
  <si>
    <t>필수 여부</t>
  </si>
  <si>
    <t>정리 기준</t>
  </si>
  <si>
    <t>Gold 청크 존재 여부로 실행 대상을 구분</t>
  </si>
  <si>
    <t>필수</t>
  </si>
  <si>
    <t>gold_chunk_ids가 비어 있으면 N</t>
  </si>
  <si>
    <t>평가 코드에서 사용하는 고유 ID</t>
  </si>
  <si>
    <t>도메인 접두어 + 원본 질문ID</t>
  </si>
  <si>
    <t>기존 Q번호 추적</t>
  </si>
  <si>
    <t>원본 값 보존</t>
  </si>
  <si>
    <t>검색기에 입력할 질의</t>
  </si>
  <si>
    <t>원문 보존</t>
  </si>
  <si>
    <t>사람이 보는 업무명</t>
  </si>
  <si>
    <t>원본 한글 라벨</t>
  </si>
  <si>
    <t>업무 필터 평가 및 그룹 집계</t>
  </si>
  <si>
    <t>검색 필터와 동일한 코드</t>
  </si>
  <si>
    <t>난이도별 성능 분해</t>
  </si>
  <si>
    <t>권장</t>
  </si>
  <si>
    <t>L1~L4</t>
  </si>
  <si>
    <t>중요 질문군 성능 분해</t>
  </si>
  <si>
    <t>상·중·하</t>
  </si>
  <si>
    <t>정답 출처 확인</t>
  </si>
  <si>
    <t>요청 포함</t>
  </si>
  <si>
    <t>JSON 배열로 통일</t>
  </si>
  <si>
    <t>핵심 정답 청크</t>
  </si>
  <si>
    <t>Complete@5와 nDCG 등급 2</t>
  </si>
  <si>
    <t>보조 근거 청크</t>
  </si>
  <si>
    <t>nDCG 등급 1</t>
  </si>
  <si>
    <t>전체 정답 청크 집합</t>
  </si>
  <si>
    <t>primary와 supporting의 합집합</t>
  </si>
  <si>
    <t>필요 근거 범위</t>
  </si>
  <si>
    <t>PRIMARY_ONLY / PRIMARY_PLUS_SUPPORT / ALL</t>
  </si>
  <si>
    <t>다중 청크 완전 회수 대상</t>
  </si>
  <si>
    <t>Y/N</t>
  </si>
  <si>
    <t>Gold 검수 상태</t>
  </si>
  <si>
    <t>최종 평가는 승인 행 우선</t>
  </si>
  <si>
    <t>정리 항목</t>
  </si>
  <si>
    <t>수량</t>
  </si>
  <si>
    <t>설명</t>
  </si>
  <si>
    <t>처리</t>
  </si>
  <si>
    <t>원본 유효 질문 행</t>
  </si>
  <si>
    <t>질문ID와 예상질문이 모두 있는 행</t>
  </si>
  <si>
    <t>점검</t>
  </si>
  <si>
    <t>열 어긋남 중복 행</t>
  </si>
  <si>
    <t>gold_business_function이 {}로 밀린 중복 행</t>
  </si>
  <si>
    <t>제외</t>
  </si>
  <si>
    <t>완전 중복 행</t>
  </si>
  <si>
    <t>질문·도메인·Gold가 동일한 반복 행</t>
  </si>
  <si>
    <t>1건만 유지</t>
  </si>
  <si>
    <t>최종 정리 행</t>
  </si>
  <si>
    <t>검색평가용 시트의 질문 수</t>
  </si>
  <si>
    <t>자동 계산</t>
  </si>
  <si>
    <t>검색평가대상 행</t>
  </si>
  <si>
    <t>Gold 청크가 있는 질문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</si>
</sst>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1F2937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8"/>
      <color rgb="FFFFFFFF"/>
      <name val="맑은 고딕"/>
      <family val="2"/>
      <charset val="129"/>
    </font>
    <font>
      <sz val="10"/>
      <color rgb="FF1E3A5F"/>
      <name val="맑은 고딕"/>
      <family val="2"/>
      <charset val="129"/>
    </font>
    <font>
      <sz val="9"/>
      <color rgb="FF1D4ED8"/>
      <name val="맑은 고딕"/>
      <family val="2"/>
      <charset val="129"/>
    </font>
    <font>
      <sz val="11"/>
      <name val="Carlito"/>
    </font>
    <font>
      <sz val="8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23B73"/>
      </patternFill>
    </fill>
    <fill>
      <patternFill patternType="solid">
        <fgColor rgb="FFEAF2FF"/>
      </patternFill>
    </fill>
    <fill>
      <patternFill patternType="solid">
        <fgColor rgb="FF1F5B99"/>
      </patternFill>
    </fill>
  </fills>
  <borders count="16">
    <border>
      <left/>
      <right/>
      <top/>
      <bottom/>
      <diagonal/>
    </border>
    <border>
      <left style="thin">
        <color rgb="FF123B73"/>
      </left>
      <right/>
      <top style="thin">
        <color rgb="FF123B73"/>
      </top>
      <bottom style="thin">
        <color rgb="FF123B73"/>
      </bottom>
      <diagonal/>
    </border>
    <border>
      <left/>
      <right/>
      <top style="thin">
        <color rgb="FF123B73"/>
      </top>
      <bottom style="thin">
        <color rgb="FF123B73"/>
      </bottom>
      <diagonal/>
    </border>
    <border>
      <left/>
      <right style="thin">
        <color rgb="FF123B73"/>
      </right>
      <top style="thin">
        <color rgb="FF123B73"/>
      </top>
      <bottom style="thin">
        <color rgb="FF123B73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CBD5E1"/>
      </left>
      <right/>
      <top style="thin">
        <color rgb="FFCBD5E1"/>
      </top>
      <bottom style="thin">
        <color rgb="FF1F5B99"/>
      </bottom>
      <diagonal/>
    </border>
    <border>
      <left/>
      <right/>
      <top style="thin">
        <color rgb="FFCBD5E1"/>
      </top>
      <bottom style="thin">
        <color rgb="FF1F5B99"/>
      </bottom>
      <diagonal/>
    </border>
    <border>
      <left/>
      <right style="thin">
        <color rgb="FFCBD5E1"/>
      </right>
      <top style="thin">
        <color rgb="FFCBD5E1"/>
      </top>
      <bottom style="thin">
        <color rgb="FF1F5B99"/>
      </bottom>
      <diagonal/>
    </border>
    <border>
      <left style="thin">
        <color rgb="FFCBD5E1"/>
      </left>
      <right/>
      <top/>
      <bottom style="thin">
        <color rgb="FFE5E7EB"/>
      </bottom>
      <diagonal/>
    </border>
    <border>
      <left/>
      <right style="thin">
        <color rgb="FFCBD5E1"/>
      </right>
      <top/>
      <bottom style="thin">
        <color rgb="FFE5E7EB"/>
      </bottom>
      <diagonal/>
    </border>
    <border>
      <left style="thin">
        <color rgb="FFCBD5E1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CBD5E1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/>
      <top style="thin">
        <color rgb="FFE5E7EB"/>
      </top>
      <bottom style="thin">
        <color rgb="FFCBD5E1"/>
      </bottom>
      <diagonal/>
    </border>
    <border>
      <left/>
      <right/>
      <top style="thin">
        <color rgb="FFE5E7EB"/>
      </top>
      <bottom style="thin">
        <color rgb="FFCBD5E1"/>
      </bottom>
      <diagonal/>
    </border>
    <border>
      <left/>
      <right style="thin">
        <color rgb="FFCBD5E1"/>
      </right>
      <top style="thin">
        <color rgb="FFE5E7EB"/>
      </top>
      <bottom style="thin">
        <color rgb="FFCBD5E1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1" fillId="0" borderId="9" xfId="1" applyFont="1" applyBorder="1" applyAlignment="1">
      <alignment vertical="center" wrapText="1"/>
    </xf>
    <xf numFmtId="0" fontId="1" fillId="0" borderId="10" xfId="1" applyFont="1" applyBorder="1" applyAlignment="1">
      <alignment vertical="center" wrapText="1"/>
    </xf>
    <xf numFmtId="0" fontId="1" fillId="0" borderId="11" xfId="1" applyFont="1" applyBorder="1" applyAlignment="1">
      <alignment vertical="center" wrapText="1"/>
    </xf>
    <xf numFmtId="0" fontId="1" fillId="0" borderId="12" xfId="1" applyFont="1" applyBorder="1" applyAlignment="1">
      <alignment vertical="center" wrapText="1"/>
    </xf>
    <xf numFmtId="0" fontId="1" fillId="0" borderId="13" xfId="1" applyFont="1" applyBorder="1" applyAlignment="1">
      <alignment vertical="center" wrapText="1"/>
    </xf>
    <xf numFmtId="0" fontId="1" fillId="0" borderId="14" xfId="1" applyFont="1" applyBorder="1" applyAlignment="1">
      <alignment vertical="center" wrapText="1"/>
    </xf>
    <xf numFmtId="0" fontId="1" fillId="0" borderId="15" xfId="1" applyFont="1" applyBorder="1" applyAlignment="1">
      <alignment vertical="center" wrapText="1"/>
    </xf>
    <xf numFmtId="0" fontId="1" fillId="0" borderId="14" xfId="1" applyFont="1" applyBorder="1" applyAlignment="1">
      <alignment horizontal="center" vertical="center" wrapText="1"/>
    </xf>
    <xf numFmtId="0" fontId="5" fillId="0" borderId="4" xfId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14" xfId="1" applyFont="1" applyBorder="1" applyAlignment="1">
      <alignment vertical="center" wrapText="1"/>
    </xf>
    <xf numFmtId="0" fontId="3" fillId="2" borderId="0" xfId="1" applyFont="1" applyFill="1" applyAlignment="1">
      <alignment horizontal="left" vertical="center"/>
    </xf>
    <xf numFmtId="0" fontId="4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4">
    <dxf>
      <font>
        <color rgb="FF92400E"/>
      </font>
      <fill>
        <patternFill patternType="solid">
          <bgColor rgb="FFFEF3C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rievalEvaluationTable" displayName="RetrievalEvaluationTable" ref="A1:O152" totalsRowShown="0">
  <autoFilter ref="A1:O152" xr:uid="{00000000-0009-0000-0100-000001000000}"/>
  <tableColumns count="15">
    <tableColumn id="1" xr3:uid="{00000000-0010-0000-0000-000001000000}" name="검색평가대상"/>
    <tableColumn id="2" xr3:uid="{00000000-0010-0000-0000-000002000000}" name="evaluation_id"/>
    <tableColumn id="3" xr3:uid="{00000000-0010-0000-0000-000003000000}" name="질문ID(원본)"/>
    <tableColumn id="4" xr3:uid="{00000000-0010-0000-0000-000004000000}" name="예상질문"/>
    <tableColumn id="5" xr3:uid="{00000000-0010-0000-0000-000005000000}" name="도메인"/>
    <tableColumn id="6" xr3:uid="{00000000-0010-0000-0000-000006000000}" name="gold_business_function"/>
    <tableColumn id="7" xr3:uid="{00000000-0010-0000-0000-000007000000}" name="질문 복잡도"/>
    <tableColumn id="8" xr3:uid="{00000000-0010-0000-0000-000008000000}" name="중요도"/>
    <tableColumn id="9" xr3:uid="{00000000-0010-0000-0000-000009000000}" name="gold_source_urls"/>
    <tableColumn id="10" xr3:uid="{00000000-0010-0000-0000-00000A000000}" name="gold_primary_chunk_ids"/>
    <tableColumn id="11" xr3:uid="{00000000-0010-0000-0000-00000B000000}" name="gold_supporting_chunk_ids"/>
    <tableColumn id="12" xr3:uid="{00000000-0010-0000-0000-00000C000000}" name="gold_chunk_ids"/>
    <tableColumn id="13" xr3:uid="{00000000-0010-0000-0000-00000D000000}" name="gold_evidence_requirement"/>
    <tableColumn id="14" xr3:uid="{00000000-0010-0000-0000-00000E000000}" name="multi_chunk_required"/>
    <tableColumn id="15" xr3:uid="{00000000-0010-0000-0000-00000F000000}" name="gold_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2"/>
  <sheetViews>
    <sheetView showGridLines="0" tabSelected="1" workbookViewId="0"/>
  </sheetViews>
  <sheetFormatPr defaultRowHeight="14.25"/>
  <cols>
    <col min="1" max="1" width="14" customWidth="1"/>
    <col min="2" max="2" width="16" customWidth="1"/>
    <col min="3" max="3" width="13" customWidth="1"/>
    <col min="4" max="4" width="42" customWidth="1"/>
    <col min="5" max="5" width="18" customWidth="1"/>
    <col min="6" max="6" width="24" customWidth="1"/>
    <col min="7" max="7" width="18" customWidth="1"/>
    <col min="8" max="8" width="10" customWidth="1"/>
    <col min="9" max="9" width="46" customWidth="1"/>
    <col min="10" max="11" width="42" customWidth="1"/>
    <col min="12" max="12" width="46" customWidth="1"/>
    <col min="13" max="13" width="24" customWidth="1"/>
    <col min="14" max="15" width="20" customWidth="1"/>
  </cols>
  <sheetData>
    <row r="1" spans="1:15" ht="33.95000000000000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ht="38.1" customHeight="1">
      <c r="A2" s="6" t="str">
        <f t="shared" ref="A2:A33" si="0">IF(OR(L2="",L2="[]"),"N","Y")</f>
        <v>Y</v>
      </c>
      <c r="B2" s="6" t="s">
        <v>15</v>
      </c>
      <c r="C2" s="6" t="s">
        <v>16</v>
      </c>
      <c r="D2" s="4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4" t="s">
        <v>22</v>
      </c>
      <c r="J2" s="4" t="s">
        <v>23</v>
      </c>
      <c r="K2" s="4" t="s">
        <v>24</v>
      </c>
      <c r="L2" s="4" t="s">
        <v>23</v>
      </c>
      <c r="M2" s="6" t="s">
        <v>25</v>
      </c>
      <c r="N2" s="6" t="s">
        <v>26</v>
      </c>
      <c r="O2" s="6" t="s">
        <v>27</v>
      </c>
    </row>
    <row r="3" spans="1:15" ht="38.1" customHeight="1">
      <c r="A3" s="7" t="str">
        <f t="shared" si="0"/>
        <v>Y</v>
      </c>
      <c r="B3" s="7" t="s">
        <v>28</v>
      </c>
      <c r="C3" s="7" t="s">
        <v>29</v>
      </c>
      <c r="D3" s="5" t="s">
        <v>30</v>
      </c>
      <c r="E3" s="7" t="s">
        <v>18</v>
      </c>
      <c r="F3" s="7" t="s">
        <v>19</v>
      </c>
      <c r="G3" s="7" t="s">
        <v>20</v>
      </c>
      <c r="H3" s="7" t="s">
        <v>21</v>
      </c>
      <c r="I3" s="5" t="s">
        <v>22</v>
      </c>
      <c r="J3" s="5" t="s">
        <v>23</v>
      </c>
      <c r="K3" s="5" t="s">
        <v>24</v>
      </c>
      <c r="L3" s="5" t="s">
        <v>23</v>
      </c>
      <c r="M3" s="7" t="s">
        <v>25</v>
      </c>
      <c r="N3" s="7" t="s">
        <v>26</v>
      </c>
      <c r="O3" s="7" t="s">
        <v>27</v>
      </c>
    </row>
    <row r="4" spans="1:15" ht="38.1" customHeight="1">
      <c r="A4" s="7" t="str">
        <f t="shared" si="0"/>
        <v>Y</v>
      </c>
      <c r="B4" s="7" t="s">
        <v>31</v>
      </c>
      <c r="C4" s="7" t="s">
        <v>32</v>
      </c>
      <c r="D4" s="5" t="s">
        <v>33</v>
      </c>
      <c r="E4" s="7" t="s">
        <v>18</v>
      </c>
      <c r="F4" s="7" t="s">
        <v>19</v>
      </c>
      <c r="G4" s="7" t="s">
        <v>34</v>
      </c>
      <c r="H4" s="7" t="s">
        <v>21</v>
      </c>
      <c r="I4" s="5" t="s">
        <v>22</v>
      </c>
      <c r="J4" s="5" t="s">
        <v>23</v>
      </c>
      <c r="K4" s="5" t="s">
        <v>24</v>
      </c>
      <c r="L4" s="5" t="s">
        <v>23</v>
      </c>
      <c r="M4" s="7" t="s">
        <v>25</v>
      </c>
      <c r="N4" s="7" t="s">
        <v>26</v>
      </c>
      <c r="O4" s="7" t="s">
        <v>27</v>
      </c>
    </row>
    <row r="5" spans="1:15" ht="38.1" customHeight="1">
      <c r="A5" s="7" t="str">
        <f t="shared" si="0"/>
        <v>Y</v>
      </c>
      <c r="B5" s="7" t="s">
        <v>35</v>
      </c>
      <c r="C5" s="7" t="s">
        <v>36</v>
      </c>
      <c r="D5" s="5" t="s">
        <v>37</v>
      </c>
      <c r="E5" s="7" t="s">
        <v>18</v>
      </c>
      <c r="F5" s="7" t="s">
        <v>19</v>
      </c>
      <c r="G5" s="7" t="s">
        <v>34</v>
      </c>
      <c r="H5" s="7" t="s">
        <v>21</v>
      </c>
      <c r="I5" s="5" t="s">
        <v>38</v>
      </c>
      <c r="J5" s="5" t="s">
        <v>39</v>
      </c>
      <c r="K5" s="5" t="s">
        <v>40</v>
      </c>
      <c r="L5" s="5" t="s">
        <v>41</v>
      </c>
      <c r="M5" s="7" t="s">
        <v>42</v>
      </c>
      <c r="N5" s="7" t="s">
        <v>43</v>
      </c>
      <c r="O5" s="7" t="s">
        <v>44</v>
      </c>
    </row>
    <row r="6" spans="1:15" ht="38.1" customHeight="1">
      <c r="A6" s="7" t="str">
        <f t="shared" si="0"/>
        <v>Y</v>
      </c>
      <c r="B6" s="7" t="s">
        <v>45</v>
      </c>
      <c r="C6" s="7" t="s">
        <v>46</v>
      </c>
      <c r="D6" s="5" t="s">
        <v>47</v>
      </c>
      <c r="E6" s="7" t="s">
        <v>18</v>
      </c>
      <c r="F6" s="7" t="s">
        <v>19</v>
      </c>
      <c r="G6" s="7" t="s">
        <v>34</v>
      </c>
      <c r="H6" s="7" t="s">
        <v>21</v>
      </c>
      <c r="I6" s="5" t="s">
        <v>38</v>
      </c>
      <c r="J6" s="5" t="s">
        <v>40</v>
      </c>
      <c r="K6" s="5" t="s">
        <v>48</v>
      </c>
      <c r="L6" s="5" t="s">
        <v>49</v>
      </c>
      <c r="M6" s="7" t="s">
        <v>42</v>
      </c>
      <c r="N6" s="7" t="s">
        <v>43</v>
      </c>
      <c r="O6" s="7" t="s">
        <v>44</v>
      </c>
    </row>
    <row r="7" spans="1:15" ht="38.1" customHeight="1">
      <c r="A7" s="7" t="str">
        <f t="shared" si="0"/>
        <v>Y</v>
      </c>
      <c r="B7" s="7" t="s">
        <v>50</v>
      </c>
      <c r="C7" s="7" t="s">
        <v>51</v>
      </c>
      <c r="D7" s="5" t="s">
        <v>52</v>
      </c>
      <c r="E7" s="7" t="s">
        <v>18</v>
      </c>
      <c r="F7" s="7" t="s">
        <v>19</v>
      </c>
      <c r="G7" s="7" t="s">
        <v>20</v>
      </c>
      <c r="H7" s="7" t="s">
        <v>21</v>
      </c>
      <c r="I7" s="5" t="s">
        <v>38</v>
      </c>
      <c r="J7" s="5" t="s">
        <v>40</v>
      </c>
      <c r="K7" s="5" t="s">
        <v>24</v>
      </c>
      <c r="L7" s="5" t="s">
        <v>40</v>
      </c>
      <c r="M7" s="7" t="s">
        <v>25</v>
      </c>
      <c r="N7" s="7" t="s">
        <v>26</v>
      </c>
      <c r="O7" s="7" t="s">
        <v>44</v>
      </c>
    </row>
    <row r="8" spans="1:15" ht="38.1" customHeight="1">
      <c r="A8" s="7" t="str">
        <f t="shared" si="0"/>
        <v>Y</v>
      </c>
      <c r="B8" s="7" t="s">
        <v>53</v>
      </c>
      <c r="C8" s="7" t="s">
        <v>54</v>
      </c>
      <c r="D8" s="5" t="s">
        <v>55</v>
      </c>
      <c r="E8" s="7" t="s">
        <v>18</v>
      </c>
      <c r="F8" s="7" t="s">
        <v>19</v>
      </c>
      <c r="G8" s="7" t="s">
        <v>34</v>
      </c>
      <c r="H8" s="7" t="s">
        <v>21</v>
      </c>
      <c r="I8" s="5" t="s">
        <v>56</v>
      </c>
      <c r="J8" s="5" t="s">
        <v>57</v>
      </c>
      <c r="K8" s="5" t="s">
        <v>24</v>
      </c>
      <c r="L8" s="5" t="s">
        <v>57</v>
      </c>
      <c r="M8" s="7" t="s">
        <v>25</v>
      </c>
      <c r="N8" s="7" t="s">
        <v>43</v>
      </c>
      <c r="O8" s="7" t="s">
        <v>27</v>
      </c>
    </row>
    <row r="9" spans="1:15" ht="38.1" customHeight="1">
      <c r="A9" s="7" t="str">
        <f t="shared" si="0"/>
        <v>Y</v>
      </c>
      <c r="B9" s="7" t="s">
        <v>58</v>
      </c>
      <c r="C9" s="7" t="s">
        <v>59</v>
      </c>
      <c r="D9" s="5" t="s">
        <v>60</v>
      </c>
      <c r="E9" s="7" t="s">
        <v>18</v>
      </c>
      <c r="F9" s="7" t="s">
        <v>19</v>
      </c>
      <c r="G9" s="7" t="s">
        <v>34</v>
      </c>
      <c r="H9" s="7" t="s">
        <v>21</v>
      </c>
      <c r="I9" s="5" t="s">
        <v>56</v>
      </c>
      <c r="J9" s="5" t="s">
        <v>57</v>
      </c>
      <c r="K9" s="5" t="s">
        <v>24</v>
      </c>
      <c r="L9" s="5" t="s">
        <v>57</v>
      </c>
      <c r="M9" s="7" t="s">
        <v>25</v>
      </c>
      <c r="N9" s="7" t="s">
        <v>43</v>
      </c>
      <c r="O9" s="7" t="s">
        <v>27</v>
      </c>
    </row>
    <row r="10" spans="1:15" ht="38.1" customHeight="1">
      <c r="A10" s="7" t="str">
        <f t="shared" si="0"/>
        <v>Y</v>
      </c>
      <c r="B10" s="7" t="s">
        <v>61</v>
      </c>
      <c r="C10" s="7" t="s">
        <v>62</v>
      </c>
      <c r="D10" s="5" t="s">
        <v>63</v>
      </c>
      <c r="E10" s="7" t="s">
        <v>18</v>
      </c>
      <c r="F10" s="7" t="s">
        <v>19</v>
      </c>
      <c r="G10" s="7" t="s">
        <v>34</v>
      </c>
      <c r="H10" s="7" t="s">
        <v>21</v>
      </c>
      <c r="I10" s="5" t="s">
        <v>56</v>
      </c>
      <c r="J10" s="5" t="s">
        <v>64</v>
      </c>
      <c r="K10" s="5" t="s">
        <v>24</v>
      </c>
      <c r="L10" s="5" t="s">
        <v>64</v>
      </c>
      <c r="M10" s="7" t="s">
        <v>25</v>
      </c>
      <c r="N10" s="7" t="s">
        <v>26</v>
      </c>
      <c r="O10" s="7" t="s">
        <v>27</v>
      </c>
    </row>
    <row r="11" spans="1:15" ht="38.1" customHeight="1">
      <c r="A11" s="7" t="str">
        <f t="shared" si="0"/>
        <v>Y</v>
      </c>
      <c r="B11" s="7" t="s">
        <v>65</v>
      </c>
      <c r="C11" s="7" t="s">
        <v>66</v>
      </c>
      <c r="D11" s="5" t="s">
        <v>67</v>
      </c>
      <c r="E11" s="7" t="s">
        <v>18</v>
      </c>
      <c r="F11" s="7" t="s">
        <v>19</v>
      </c>
      <c r="G11" s="7" t="s">
        <v>34</v>
      </c>
      <c r="H11" s="7" t="s">
        <v>21</v>
      </c>
      <c r="I11" s="5" t="s">
        <v>68</v>
      </c>
      <c r="J11" s="5" t="s">
        <v>69</v>
      </c>
      <c r="K11" s="5" t="s">
        <v>70</v>
      </c>
      <c r="L11" s="5" t="s">
        <v>71</v>
      </c>
      <c r="M11" s="7" t="s">
        <v>25</v>
      </c>
      <c r="N11" s="7" t="s">
        <v>26</v>
      </c>
      <c r="O11" s="7" t="s">
        <v>44</v>
      </c>
    </row>
    <row r="12" spans="1:15" ht="38.1" customHeight="1">
      <c r="A12" s="7" t="str">
        <f t="shared" si="0"/>
        <v>Y</v>
      </c>
      <c r="B12" s="7" t="s">
        <v>72</v>
      </c>
      <c r="C12" s="7" t="s">
        <v>73</v>
      </c>
      <c r="D12" s="5" t="s">
        <v>74</v>
      </c>
      <c r="E12" s="7" t="s">
        <v>18</v>
      </c>
      <c r="F12" s="7" t="s">
        <v>19</v>
      </c>
      <c r="G12" s="7" t="s">
        <v>34</v>
      </c>
      <c r="H12" s="7" t="s">
        <v>21</v>
      </c>
      <c r="I12" s="5" t="s">
        <v>68</v>
      </c>
      <c r="J12" s="5" t="s">
        <v>75</v>
      </c>
      <c r="K12" s="5" t="s">
        <v>70</v>
      </c>
      <c r="L12" s="5" t="s">
        <v>76</v>
      </c>
      <c r="M12" s="7" t="s">
        <v>25</v>
      </c>
      <c r="N12" s="7" t="s">
        <v>26</v>
      </c>
      <c r="O12" s="7" t="s">
        <v>44</v>
      </c>
    </row>
    <row r="13" spans="1:15" ht="38.1" customHeight="1">
      <c r="A13" s="7" t="str">
        <f t="shared" si="0"/>
        <v>Y</v>
      </c>
      <c r="B13" s="7" t="s">
        <v>77</v>
      </c>
      <c r="C13" s="7" t="s">
        <v>78</v>
      </c>
      <c r="D13" s="5" t="s">
        <v>79</v>
      </c>
      <c r="E13" s="7" t="s">
        <v>18</v>
      </c>
      <c r="F13" s="7" t="s">
        <v>19</v>
      </c>
      <c r="G13" s="7" t="s">
        <v>34</v>
      </c>
      <c r="H13" s="7" t="s">
        <v>21</v>
      </c>
      <c r="I13" s="5" t="s">
        <v>68</v>
      </c>
      <c r="J13" s="5" t="s">
        <v>80</v>
      </c>
      <c r="K13" s="5" t="s">
        <v>24</v>
      </c>
      <c r="L13" s="5" t="s">
        <v>80</v>
      </c>
      <c r="M13" s="7" t="s">
        <v>81</v>
      </c>
      <c r="N13" s="7" t="s">
        <v>43</v>
      </c>
      <c r="O13" s="7" t="s">
        <v>44</v>
      </c>
    </row>
    <row r="14" spans="1:15" ht="38.1" customHeight="1">
      <c r="A14" s="7" t="str">
        <f t="shared" si="0"/>
        <v>Y</v>
      </c>
      <c r="B14" s="7" t="s">
        <v>82</v>
      </c>
      <c r="C14" s="7" t="s">
        <v>83</v>
      </c>
      <c r="D14" s="5" t="s">
        <v>84</v>
      </c>
      <c r="E14" s="7" t="s">
        <v>18</v>
      </c>
      <c r="F14" s="7" t="s">
        <v>19</v>
      </c>
      <c r="G14" s="7" t="s">
        <v>85</v>
      </c>
      <c r="H14" s="7" t="s">
        <v>86</v>
      </c>
      <c r="I14" s="5" t="s">
        <v>87</v>
      </c>
      <c r="J14" s="5" t="s">
        <v>88</v>
      </c>
      <c r="K14" s="5" t="s">
        <v>24</v>
      </c>
      <c r="L14" s="5" t="s">
        <v>88</v>
      </c>
      <c r="M14" s="7" t="s">
        <v>25</v>
      </c>
      <c r="N14" s="7" t="s">
        <v>26</v>
      </c>
      <c r="O14" s="7" t="s">
        <v>44</v>
      </c>
    </row>
    <row r="15" spans="1:15" ht="38.1" customHeight="1">
      <c r="A15" s="7" t="str">
        <f t="shared" si="0"/>
        <v>Y</v>
      </c>
      <c r="B15" s="7" t="s">
        <v>89</v>
      </c>
      <c r="C15" s="7" t="s">
        <v>90</v>
      </c>
      <c r="D15" s="5" t="s">
        <v>91</v>
      </c>
      <c r="E15" s="7" t="s">
        <v>18</v>
      </c>
      <c r="F15" s="7" t="s">
        <v>19</v>
      </c>
      <c r="G15" s="7" t="s">
        <v>85</v>
      </c>
      <c r="H15" s="7" t="s">
        <v>86</v>
      </c>
      <c r="I15" s="5" t="s">
        <v>87</v>
      </c>
      <c r="J15" s="5" t="s">
        <v>92</v>
      </c>
      <c r="K15" s="5" t="s">
        <v>24</v>
      </c>
      <c r="L15" s="5" t="s">
        <v>92</v>
      </c>
      <c r="M15" s="7" t="s">
        <v>25</v>
      </c>
      <c r="N15" s="7" t="s">
        <v>26</v>
      </c>
      <c r="O15" s="7" t="s">
        <v>44</v>
      </c>
    </row>
    <row r="16" spans="1:15" ht="38.1" customHeight="1">
      <c r="A16" s="7" t="str">
        <f t="shared" si="0"/>
        <v>Y</v>
      </c>
      <c r="B16" s="7" t="s">
        <v>93</v>
      </c>
      <c r="C16" s="7" t="s">
        <v>94</v>
      </c>
      <c r="D16" s="5" t="s">
        <v>95</v>
      </c>
      <c r="E16" s="7" t="s">
        <v>18</v>
      </c>
      <c r="F16" s="7" t="s">
        <v>19</v>
      </c>
      <c r="G16" s="7" t="s">
        <v>85</v>
      </c>
      <c r="H16" s="7" t="s">
        <v>86</v>
      </c>
      <c r="I16" s="5" t="s">
        <v>87</v>
      </c>
      <c r="J16" s="5" t="s">
        <v>96</v>
      </c>
      <c r="K16" s="5" t="s">
        <v>24</v>
      </c>
      <c r="L16" s="5" t="s">
        <v>96</v>
      </c>
      <c r="M16" s="7" t="s">
        <v>25</v>
      </c>
      <c r="N16" s="7" t="s">
        <v>26</v>
      </c>
      <c r="O16" s="7" t="s">
        <v>44</v>
      </c>
    </row>
    <row r="17" spans="1:15" ht="38.1" customHeight="1">
      <c r="A17" s="7" t="str">
        <f t="shared" si="0"/>
        <v>Y</v>
      </c>
      <c r="B17" s="7" t="s">
        <v>97</v>
      </c>
      <c r="C17" s="7" t="s">
        <v>98</v>
      </c>
      <c r="D17" s="5" t="s">
        <v>99</v>
      </c>
      <c r="E17" s="7" t="s">
        <v>18</v>
      </c>
      <c r="F17" s="7" t="s">
        <v>19</v>
      </c>
      <c r="G17" s="7" t="s">
        <v>20</v>
      </c>
      <c r="H17" s="7" t="s">
        <v>86</v>
      </c>
      <c r="I17" s="5" t="s">
        <v>100</v>
      </c>
      <c r="J17" s="5" t="s">
        <v>101</v>
      </c>
      <c r="K17" s="5" t="s">
        <v>24</v>
      </c>
      <c r="L17" s="5" t="s">
        <v>101</v>
      </c>
      <c r="M17" s="7" t="s">
        <v>25</v>
      </c>
      <c r="N17" s="7" t="s">
        <v>26</v>
      </c>
      <c r="O17" s="7" t="s">
        <v>44</v>
      </c>
    </row>
    <row r="18" spans="1:15" ht="38.1" customHeight="1">
      <c r="A18" s="7" t="str">
        <f t="shared" si="0"/>
        <v>Y</v>
      </c>
      <c r="B18" s="7" t="s">
        <v>102</v>
      </c>
      <c r="C18" s="7" t="s">
        <v>103</v>
      </c>
      <c r="D18" s="5" t="s">
        <v>104</v>
      </c>
      <c r="E18" s="7" t="s">
        <v>18</v>
      </c>
      <c r="F18" s="7" t="s">
        <v>19</v>
      </c>
      <c r="G18" s="7" t="s">
        <v>20</v>
      </c>
      <c r="H18" s="7" t="s">
        <v>86</v>
      </c>
      <c r="I18" s="5" t="s">
        <v>100</v>
      </c>
      <c r="J18" s="5" t="s">
        <v>101</v>
      </c>
      <c r="K18" s="5" t="s">
        <v>24</v>
      </c>
      <c r="L18" s="5" t="s">
        <v>101</v>
      </c>
      <c r="M18" s="7" t="s">
        <v>25</v>
      </c>
      <c r="N18" s="7" t="s">
        <v>26</v>
      </c>
      <c r="O18" s="7" t="s">
        <v>44</v>
      </c>
    </row>
    <row r="19" spans="1:15" ht="38.1" customHeight="1">
      <c r="A19" s="7" t="str">
        <f t="shared" si="0"/>
        <v>Y</v>
      </c>
      <c r="B19" s="7" t="s">
        <v>105</v>
      </c>
      <c r="C19" s="7" t="s">
        <v>106</v>
      </c>
      <c r="D19" s="5" t="s">
        <v>107</v>
      </c>
      <c r="E19" s="7" t="s">
        <v>18</v>
      </c>
      <c r="F19" s="7" t="s">
        <v>19</v>
      </c>
      <c r="G19" s="7" t="s">
        <v>34</v>
      </c>
      <c r="H19" s="7" t="s">
        <v>108</v>
      </c>
      <c r="I19" s="5" t="s">
        <v>109</v>
      </c>
      <c r="J19" s="5" t="s">
        <v>110</v>
      </c>
      <c r="K19" s="5" t="s">
        <v>111</v>
      </c>
      <c r="L19" s="5" t="s">
        <v>112</v>
      </c>
      <c r="M19" s="7" t="s">
        <v>25</v>
      </c>
      <c r="N19" s="7" t="s">
        <v>26</v>
      </c>
      <c r="O19" s="7" t="s">
        <v>44</v>
      </c>
    </row>
    <row r="20" spans="1:15" ht="38.1" customHeight="1">
      <c r="A20" s="7" t="str">
        <f t="shared" si="0"/>
        <v>Y</v>
      </c>
      <c r="B20" s="7" t="s">
        <v>113</v>
      </c>
      <c r="C20" s="7" t="s">
        <v>114</v>
      </c>
      <c r="D20" s="5" t="s">
        <v>115</v>
      </c>
      <c r="E20" s="7" t="s">
        <v>18</v>
      </c>
      <c r="F20" s="7" t="s">
        <v>19</v>
      </c>
      <c r="G20" s="7" t="s">
        <v>34</v>
      </c>
      <c r="H20" s="7" t="s">
        <v>108</v>
      </c>
      <c r="I20" s="5" t="s">
        <v>109</v>
      </c>
      <c r="J20" s="5" t="s">
        <v>110</v>
      </c>
      <c r="K20" s="5" t="s">
        <v>24</v>
      </c>
      <c r="L20" s="5" t="s">
        <v>110</v>
      </c>
      <c r="M20" s="7" t="s">
        <v>25</v>
      </c>
      <c r="N20" s="7" t="s">
        <v>26</v>
      </c>
      <c r="O20" s="7" t="s">
        <v>44</v>
      </c>
    </row>
    <row r="21" spans="1:15" ht="38.1" customHeight="1">
      <c r="A21" s="7" t="str">
        <f t="shared" si="0"/>
        <v>Y</v>
      </c>
      <c r="B21" s="7" t="s">
        <v>116</v>
      </c>
      <c r="C21" s="7" t="s">
        <v>117</v>
      </c>
      <c r="D21" s="5" t="s">
        <v>118</v>
      </c>
      <c r="E21" s="7" t="s">
        <v>18</v>
      </c>
      <c r="F21" s="7" t="s">
        <v>19</v>
      </c>
      <c r="G21" s="7" t="s">
        <v>20</v>
      </c>
      <c r="H21" s="7" t="s">
        <v>86</v>
      </c>
      <c r="I21" s="5" t="s">
        <v>22</v>
      </c>
      <c r="J21" s="5" t="s">
        <v>23</v>
      </c>
      <c r="K21" s="5" t="s">
        <v>24</v>
      </c>
      <c r="L21" s="5" t="s">
        <v>23</v>
      </c>
      <c r="M21" s="7" t="s">
        <v>25</v>
      </c>
      <c r="N21" s="7" t="s">
        <v>26</v>
      </c>
      <c r="O21" s="7" t="s">
        <v>44</v>
      </c>
    </row>
    <row r="22" spans="1:15" ht="38.1" customHeight="1">
      <c r="A22" s="7" t="str">
        <f t="shared" si="0"/>
        <v>Y</v>
      </c>
      <c r="B22" s="7" t="s">
        <v>119</v>
      </c>
      <c r="C22" s="7" t="s">
        <v>120</v>
      </c>
      <c r="D22" s="5" t="s">
        <v>121</v>
      </c>
      <c r="E22" s="7" t="s">
        <v>122</v>
      </c>
      <c r="F22" s="7" t="s">
        <v>123</v>
      </c>
      <c r="G22" s="7" t="s">
        <v>34</v>
      </c>
      <c r="H22" s="7" t="s">
        <v>21</v>
      </c>
      <c r="I22" s="5" t="s">
        <v>124</v>
      </c>
      <c r="J22" s="5" t="s">
        <v>125</v>
      </c>
      <c r="K22" s="5" t="s">
        <v>24</v>
      </c>
      <c r="L22" s="5" t="s">
        <v>125</v>
      </c>
      <c r="M22" s="7" t="s">
        <v>81</v>
      </c>
      <c r="N22" s="7" t="s">
        <v>43</v>
      </c>
      <c r="O22" s="7" t="s">
        <v>27</v>
      </c>
    </row>
    <row r="23" spans="1:15" ht="38.1" customHeight="1">
      <c r="A23" s="7" t="str">
        <f t="shared" si="0"/>
        <v>Y</v>
      </c>
      <c r="B23" s="7" t="s">
        <v>126</v>
      </c>
      <c r="C23" s="7" t="s">
        <v>127</v>
      </c>
      <c r="D23" s="5" t="s">
        <v>128</v>
      </c>
      <c r="E23" s="7" t="s">
        <v>122</v>
      </c>
      <c r="F23" s="7" t="s">
        <v>123</v>
      </c>
      <c r="G23" s="7" t="s">
        <v>85</v>
      </c>
      <c r="H23" s="7" t="s">
        <v>21</v>
      </c>
      <c r="I23" s="5" t="s">
        <v>124</v>
      </c>
      <c r="J23" s="5" t="s">
        <v>129</v>
      </c>
      <c r="K23" s="5" t="s">
        <v>24</v>
      </c>
      <c r="L23" s="5" t="s">
        <v>129</v>
      </c>
      <c r="M23" s="7" t="s">
        <v>25</v>
      </c>
      <c r="N23" s="7" t="s">
        <v>26</v>
      </c>
      <c r="O23" s="7" t="s">
        <v>27</v>
      </c>
    </row>
    <row r="24" spans="1:15" ht="38.1" customHeight="1">
      <c r="A24" s="7" t="str">
        <f t="shared" si="0"/>
        <v>Y</v>
      </c>
      <c r="B24" s="7" t="s">
        <v>130</v>
      </c>
      <c r="C24" s="7" t="s">
        <v>131</v>
      </c>
      <c r="D24" s="5" t="s">
        <v>132</v>
      </c>
      <c r="E24" s="7" t="s">
        <v>122</v>
      </c>
      <c r="F24" s="7" t="s">
        <v>123</v>
      </c>
      <c r="G24" s="7" t="s">
        <v>85</v>
      </c>
      <c r="H24" s="7" t="s">
        <v>21</v>
      </c>
      <c r="I24" s="5" t="s">
        <v>124</v>
      </c>
      <c r="J24" s="5" t="s">
        <v>133</v>
      </c>
      <c r="K24" s="5" t="s">
        <v>24</v>
      </c>
      <c r="L24" s="5" t="s">
        <v>133</v>
      </c>
      <c r="M24" s="7" t="s">
        <v>25</v>
      </c>
      <c r="N24" s="7" t="s">
        <v>26</v>
      </c>
      <c r="O24" s="7" t="s">
        <v>27</v>
      </c>
    </row>
    <row r="25" spans="1:15" ht="38.1" customHeight="1">
      <c r="A25" s="7" t="str">
        <f t="shared" si="0"/>
        <v>Y</v>
      </c>
      <c r="B25" s="7" t="s">
        <v>134</v>
      </c>
      <c r="C25" s="7" t="s">
        <v>135</v>
      </c>
      <c r="D25" s="5" t="s">
        <v>136</v>
      </c>
      <c r="E25" s="7" t="s">
        <v>122</v>
      </c>
      <c r="F25" s="7" t="s">
        <v>123</v>
      </c>
      <c r="G25" s="7" t="s">
        <v>34</v>
      </c>
      <c r="H25" s="7" t="s">
        <v>21</v>
      </c>
      <c r="I25" s="5" t="s">
        <v>137</v>
      </c>
      <c r="J25" s="5" t="s">
        <v>138</v>
      </c>
      <c r="K25" s="5" t="s">
        <v>24</v>
      </c>
      <c r="L25" s="5" t="s">
        <v>138</v>
      </c>
      <c r="M25" s="7" t="s">
        <v>81</v>
      </c>
      <c r="N25" s="7" t="s">
        <v>43</v>
      </c>
      <c r="O25" s="7" t="s">
        <v>27</v>
      </c>
    </row>
    <row r="26" spans="1:15" ht="38.1" customHeight="1">
      <c r="A26" s="7" t="str">
        <f t="shared" si="0"/>
        <v>Y</v>
      </c>
      <c r="B26" s="7" t="s">
        <v>139</v>
      </c>
      <c r="C26" s="7" t="s">
        <v>140</v>
      </c>
      <c r="D26" s="5" t="s">
        <v>141</v>
      </c>
      <c r="E26" s="7" t="s">
        <v>122</v>
      </c>
      <c r="F26" s="7" t="s">
        <v>123</v>
      </c>
      <c r="G26" s="7" t="s">
        <v>20</v>
      </c>
      <c r="H26" s="7" t="s">
        <v>21</v>
      </c>
      <c r="I26" s="5" t="s">
        <v>137</v>
      </c>
      <c r="J26" s="5" t="s">
        <v>142</v>
      </c>
      <c r="K26" s="5" t="s">
        <v>24</v>
      </c>
      <c r="L26" s="5" t="s">
        <v>142</v>
      </c>
      <c r="M26" s="7" t="s">
        <v>25</v>
      </c>
      <c r="N26" s="7" t="s">
        <v>26</v>
      </c>
      <c r="O26" s="7" t="s">
        <v>27</v>
      </c>
    </row>
    <row r="27" spans="1:15" ht="38.1" customHeight="1">
      <c r="A27" s="7" t="str">
        <f t="shared" si="0"/>
        <v>Y</v>
      </c>
      <c r="B27" s="7" t="s">
        <v>143</v>
      </c>
      <c r="C27" s="7" t="s">
        <v>144</v>
      </c>
      <c r="D27" s="5" t="s">
        <v>145</v>
      </c>
      <c r="E27" s="7" t="s">
        <v>122</v>
      </c>
      <c r="F27" s="7" t="s">
        <v>123</v>
      </c>
      <c r="G27" s="7" t="s">
        <v>20</v>
      </c>
      <c r="H27" s="7" t="s">
        <v>21</v>
      </c>
      <c r="I27" s="5" t="s">
        <v>146</v>
      </c>
      <c r="J27" s="5" t="s">
        <v>147</v>
      </c>
      <c r="K27" s="5" t="s">
        <v>24</v>
      </c>
      <c r="L27" s="5" t="s">
        <v>147</v>
      </c>
      <c r="M27" s="7" t="s">
        <v>25</v>
      </c>
      <c r="N27" s="7" t="s">
        <v>26</v>
      </c>
      <c r="O27" s="7" t="s">
        <v>27</v>
      </c>
    </row>
    <row r="28" spans="1:15" ht="38.1" customHeight="1">
      <c r="A28" s="7" t="str">
        <f t="shared" si="0"/>
        <v>Y</v>
      </c>
      <c r="B28" s="7" t="s">
        <v>148</v>
      </c>
      <c r="C28" s="7" t="s">
        <v>149</v>
      </c>
      <c r="D28" s="5" t="s">
        <v>150</v>
      </c>
      <c r="E28" s="7" t="s">
        <v>122</v>
      </c>
      <c r="F28" s="7" t="s">
        <v>123</v>
      </c>
      <c r="G28" s="7" t="s">
        <v>34</v>
      </c>
      <c r="H28" s="7" t="s">
        <v>21</v>
      </c>
      <c r="I28" s="5" t="s">
        <v>146</v>
      </c>
      <c r="J28" s="5" t="s">
        <v>151</v>
      </c>
      <c r="K28" s="5" t="s">
        <v>24</v>
      </c>
      <c r="L28" s="5" t="s">
        <v>151</v>
      </c>
      <c r="M28" s="7" t="s">
        <v>81</v>
      </c>
      <c r="N28" s="7" t="s">
        <v>43</v>
      </c>
      <c r="O28" s="7" t="s">
        <v>27</v>
      </c>
    </row>
    <row r="29" spans="1:15" ht="38.1" customHeight="1">
      <c r="A29" s="7" t="str">
        <f t="shared" si="0"/>
        <v>Y</v>
      </c>
      <c r="B29" s="7" t="s">
        <v>152</v>
      </c>
      <c r="C29" s="7" t="s">
        <v>153</v>
      </c>
      <c r="D29" s="5" t="s">
        <v>154</v>
      </c>
      <c r="E29" s="7" t="s">
        <v>122</v>
      </c>
      <c r="F29" s="7" t="s">
        <v>123</v>
      </c>
      <c r="G29" s="7" t="s">
        <v>85</v>
      </c>
      <c r="H29" s="7" t="s">
        <v>86</v>
      </c>
      <c r="I29" s="5" t="s">
        <v>24</v>
      </c>
      <c r="J29" s="5" t="s">
        <v>155</v>
      </c>
      <c r="K29" s="5" t="s">
        <v>156</v>
      </c>
      <c r="L29" s="5" t="s">
        <v>157</v>
      </c>
      <c r="M29" s="7" t="s">
        <v>42</v>
      </c>
      <c r="N29" s="7" t="s">
        <v>43</v>
      </c>
      <c r="O29" s="7" t="s">
        <v>44</v>
      </c>
    </row>
    <row r="30" spans="1:15" ht="38.1" customHeight="1">
      <c r="A30" s="7" t="str">
        <f t="shared" si="0"/>
        <v>Y</v>
      </c>
      <c r="B30" s="7" t="s">
        <v>158</v>
      </c>
      <c r="C30" s="7" t="s">
        <v>159</v>
      </c>
      <c r="D30" s="5" t="s">
        <v>160</v>
      </c>
      <c r="E30" s="7" t="s">
        <v>122</v>
      </c>
      <c r="F30" s="7" t="s">
        <v>123</v>
      </c>
      <c r="G30" s="7" t="s">
        <v>34</v>
      </c>
      <c r="H30" s="7" t="s">
        <v>86</v>
      </c>
      <c r="I30" s="5" t="s">
        <v>24</v>
      </c>
      <c r="J30" s="5" t="s">
        <v>155</v>
      </c>
      <c r="K30" s="5" t="s">
        <v>24</v>
      </c>
      <c r="L30" s="5" t="s">
        <v>155</v>
      </c>
      <c r="M30" s="7" t="s">
        <v>25</v>
      </c>
      <c r="N30" s="7" t="s">
        <v>26</v>
      </c>
      <c r="O30" s="7" t="s">
        <v>44</v>
      </c>
    </row>
    <row r="31" spans="1:15" ht="38.1" customHeight="1">
      <c r="A31" s="7" t="str">
        <f t="shared" si="0"/>
        <v>Y</v>
      </c>
      <c r="B31" s="7" t="s">
        <v>161</v>
      </c>
      <c r="C31" s="7" t="s">
        <v>162</v>
      </c>
      <c r="D31" s="5" t="s">
        <v>163</v>
      </c>
      <c r="E31" s="7" t="s">
        <v>122</v>
      </c>
      <c r="F31" s="7" t="s">
        <v>123</v>
      </c>
      <c r="G31" s="7" t="s">
        <v>164</v>
      </c>
      <c r="H31" s="7" t="s">
        <v>21</v>
      </c>
      <c r="I31" s="5" t="s">
        <v>137</v>
      </c>
      <c r="J31" s="5" t="s">
        <v>138</v>
      </c>
      <c r="K31" s="5" t="s">
        <v>24</v>
      </c>
      <c r="L31" s="5" t="s">
        <v>138</v>
      </c>
      <c r="M31" s="7" t="s">
        <v>81</v>
      </c>
      <c r="N31" s="7" t="s">
        <v>43</v>
      </c>
      <c r="O31" s="7" t="s">
        <v>165</v>
      </c>
    </row>
    <row r="32" spans="1:15" ht="38.1" customHeight="1">
      <c r="A32" s="7" t="str">
        <f t="shared" si="0"/>
        <v>Y</v>
      </c>
      <c r="B32" s="7" t="s">
        <v>166</v>
      </c>
      <c r="C32" s="7" t="s">
        <v>167</v>
      </c>
      <c r="D32" s="5" t="s">
        <v>168</v>
      </c>
      <c r="E32" s="7" t="s">
        <v>122</v>
      </c>
      <c r="F32" s="7" t="s">
        <v>123</v>
      </c>
      <c r="G32" s="7" t="s">
        <v>164</v>
      </c>
      <c r="H32" s="7" t="s">
        <v>21</v>
      </c>
      <c r="I32" s="5" t="s">
        <v>124</v>
      </c>
      <c r="J32" s="5" t="s">
        <v>142</v>
      </c>
      <c r="K32" s="5" t="s">
        <v>169</v>
      </c>
      <c r="L32" s="5" t="s">
        <v>170</v>
      </c>
      <c r="M32" s="7" t="s">
        <v>42</v>
      </c>
      <c r="N32" s="7" t="s">
        <v>43</v>
      </c>
      <c r="O32" s="7" t="s">
        <v>165</v>
      </c>
    </row>
    <row r="33" spans="1:15" ht="38.1" customHeight="1">
      <c r="A33" s="7" t="str">
        <f t="shared" si="0"/>
        <v>N</v>
      </c>
      <c r="B33" s="7" t="s">
        <v>171</v>
      </c>
      <c r="C33" s="7" t="s">
        <v>172</v>
      </c>
      <c r="D33" s="5" t="s">
        <v>173</v>
      </c>
      <c r="E33" s="7" t="s">
        <v>122</v>
      </c>
      <c r="F33" s="7" t="s">
        <v>123</v>
      </c>
      <c r="G33" s="7" t="s">
        <v>164</v>
      </c>
      <c r="H33" s="7" t="s">
        <v>21</v>
      </c>
      <c r="I33" s="5" t="s">
        <v>124</v>
      </c>
      <c r="J33" s="5" t="s">
        <v>24</v>
      </c>
      <c r="K33" s="5" t="s">
        <v>24</v>
      </c>
      <c r="L33" s="5" t="s">
        <v>24</v>
      </c>
      <c r="M33" s="7"/>
      <c r="N33" s="7" t="s">
        <v>26</v>
      </c>
      <c r="O33" s="7" t="s">
        <v>165</v>
      </c>
    </row>
    <row r="34" spans="1:15" ht="38.1" customHeight="1">
      <c r="A34" s="7" t="str">
        <f t="shared" ref="A34:A65" si="1">IF(OR(L34="",L34="[]"),"N","Y")</f>
        <v>Y</v>
      </c>
      <c r="B34" s="7" t="s">
        <v>174</v>
      </c>
      <c r="C34" s="7" t="s">
        <v>175</v>
      </c>
      <c r="D34" s="5" t="s">
        <v>176</v>
      </c>
      <c r="E34" s="7" t="s">
        <v>122</v>
      </c>
      <c r="F34" s="7" t="s">
        <v>123</v>
      </c>
      <c r="G34" s="7" t="s">
        <v>164</v>
      </c>
      <c r="H34" s="7" t="s">
        <v>21</v>
      </c>
      <c r="I34" s="5" t="s">
        <v>124</v>
      </c>
      <c r="J34" s="5" t="s">
        <v>133</v>
      </c>
      <c r="K34" s="5" t="s">
        <v>177</v>
      </c>
      <c r="L34" s="5" t="s">
        <v>178</v>
      </c>
      <c r="M34" s="7" t="s">
        <v>42</v>
      </c>
      <c r="N34" s="7" t="s">
        <v>43</v>
      </c>
      <c r="O34" s="7" t="s">
        <v>165</v>
      </c>
    </row>
    <row r="35" spans="1:15" ht="38.1" customHeight="1">
      <c r="A35" s="7" t="str">
        <f t="shared" si="1"/>
        <v>Y</v>
      </c>
      <c r="B35" s="7" t="s">
        <v>179</v>
      </c>
      <c r="C35" s="7" t="s">
        <v>180</v>
      </c>
      <c r="D35" s="5" t="s">
        <v>181</v>
      </c>
      <c r="E35" s="7" t="s">
        <v>122</v>
      </c>
      <c r="F35" s="7" t="s">
        <v>123</v>
      </c>
      <c r="G35" s="7" t="s">
        <v>85</v>
      </c>
      <c r="H35" s="7" t="s">
        <v>21</v>
      </c>
      <c r="I35" s="5" t="s">
        <v>124</v>
      </c>
      <c r="J35" s="5" t="s">
        <v>129</v>
      </c>
      <c r="K35" s="5" t="s">
        <v>24</v>
      </c>
      <c r="L35" s="5" t="s">
        <v>129</v>
      </c>
      <c r="M35" s="7" t="s">
        <v>25</v>
      </c>
      <c r="N35" s="7" t="s">
        <v>26</v>
      </c>
      <c r="O35" s="7" t="s">
        <v>165</v>
      </c>
    </row>
    <row r="36" spans="1:15" ht="38.1" customHeight="1">
      <c r="A36" s="7" t="str">
        <f t="shared" si="1"/>
        <v>Y</v>
      </c>
      <c r="B36" s="7" t="s">
        <v>182</v>
      </c>
      <c r="C36" s="7" t="s">
        <v>183</v>
      </c>
      <c r="D36" s="5" t="s">
        <v>184</v>
      </c>
      <c r="E36" s="7" t="s">
        <v>122</v>
      </c>
      <c r="F36" s="7" t="s">
        <v>123</v>
      </c>
      <c r="G36" s="7" t="s">
        <v>164</v>
      </c>
      <c r="H36" s="7" t="s">
        <v>21</v>
      </c>
      <c r="I36" s="5" t="s">
        <v>124</v>
      </c>
      <c r="J36" s="5" t="s">
        <v>185</v>
      </c>
      <c r="K36" s="5" t="s">
        <v>24</v>
      </c>
      <c r="L36" s="5" t="s">
        <v>185</v>
      </c>
      <c r="M36" s="7"/>
      <c r="N36" s="7" t="s">
        <v>26</v>
      </c>
      <c r="O36" s="7" t="s">
        <v>165</v>
      </c>
    </row>
    <row r="37" spans="1:15" ht="38.1" customHeight="1">
      <c r="A37" s="7" t="str">
        <f t="shared" si="1"/>
        <v>Y</v>
      </c>
      <c r="B37" s="7" t="s">
        <v>186</v>
      </c>
      <c r="C37" s="7" t="s">
        <v>187</v>
      </c>
      <c r="D37" s="5" t="s">
        <v>188</v>
      </c>
      <c r="E37" s="7" t="s">
        <v>122</v>
      </c>
      <c r="F37" s="7" t="s">
        <v>123</v>
      </c>
      <c r="G37" s="7" t="s">
        <v>85</v>
      </c>
      <c r="H37" s="7" t="s">
        <v>86</v>
      </c>
      <c r="I37" s="5" t="s">
        <v>124</v>
      </c>
      <c r="J37" s="5" t="s">
        <v>189</v>
      </c>
      <c r="K37" s="5" t="s">
        <v>24</v>
      </c>
      <c r="L37" s="5" t="s">
        <v>189</v>
      </c>
      <c r="M37" s="7"/>
      <c r="N37" s="7" t="s">
        <v>26</v>
      </c>
      <c r="O37" s="7" t="s">
        <v>165</v>
      </c>
    </row>
    <row r="38" spans="1:15" ht="38.1" customHeight="1">
      <c r="A38" s="7" t="str">
        <f t="shared" si="1"/>
        <v>Y</v>
      </c>
      <c r="B38" s="7" t="s">
        <v>190</v>
      </c>
      <c r="C38" s="7" t="s">
        <v>191</v>
      </c>
      <c r="D38" s="5" t="s">
        <v>192</v>
      </c>
      <c r="E38" s="7" t="s">
        <v>122</v>
      </c>
      <c r="F38" s="7" t="s">
        <v>123</v>
      </c>
      <c r="G38" s="7" t="s">
        <v>85</v>
      </c>
      <c r="H38" s="7" t="s">
        <v>21</v>
      </c>
      <c r="I38" s="5" t="s">
        <v>137</v>
      </c>
      <c r="J38" s="5" t="s">
        <v>193</v>
      </c>
      <c r="K38" s="5" t="s">
        <v>24</v>
      </c>
      <c r="L38" s="5" t="s">
        <v>193</v>
      </c>
      <c r="M38" s="7" t="s">
        <v>81</v>
      </c>
      <c r="N38" s="7" t="s">
        <v>43</v>
      </c>
      <c r="O38" s="7" t="s">
        <v>165</v>
      </c>
    </row>
    <row r="39" spans="1:15" ht="38.1" customHeight="1">
      <c r="A39" s="7" t="str">
        <f t="shared" si="1"/>
        <v>Y</v>
      </c>
      <c r="B39" s="7" t="s">
        <v>194</v>
      </c>
      <c r="C39" s="7" t="s">
        <v>195</v>
      </c>
      <c r="D39" s="5" t="s">
        <v>196</v>
      </c>
      <c r="E39" s="7" t="s">
        <v>122</v>
      </c>
      <c r="F39" s="7" t="s">
        <v>123</v>
      </c>
      <c r="G39" s="7" t="s">
        <v>164</v>
      </c>
      <c r="H39" s="7" t="s">
        <v>86</v>
      </c>
      <c r="I39" s="5" t="s">
        <v>146</v>
      </c>
      <c r="J39" s="5" t="s">
        <v>197</v>
      </c>
      <c r="K39" s="5" t="s">
        <v>24</v>
      </c>
      <c r="L39" s="5" t="s">
        <v>197</v>
      </c>
      <c r="M39" s="7" t="s">
        <v>25</v>
      </c>
      <c r="N39" s="7" t="s">
        <v>26</v>
      </c>
      <c r="O39" s="7" t="s">
        <v>165</v>
      </c>
    </row>
    <row r="40" spans="1:15" ht="38.1" customHeight="1">
      <c r="A40" s="7" t="str">
        <f t="shared" si="1"/>
        <v>Y</v>
      </c>
      <c r="B40" s="7" t="s">
        <v>198</v>
      </c>
      <c r="C40" s="7" t="s">
        <v>199</v>
      </c>
      <c r="D40" s="5" t="s">
        <v>200</v>
      </c>
      <c r="E40" s="7" t="s">
        <v>122</v>
      </c>
      <c r="F40" s="7" t="s">
        <v>123</v>
      </c>
      <c r="G40" s="7" t="s">
        <v>164</v>
      </c>
      <c r="H40" s="7" t="s">
        <v>21</v>
      </c>
      <c r="I40" s="5" t="s">
        <v>137</v>
      </c>
      <c r="J40" s="5" t="s">
        <v>201</v>
      </c>
      <c r="K40" s="5" t="s">
        <v>24</v>
      </c>
      <c r="L40" s="5" t="s">
        <v>201</v>
      </c>
      <c r="M40" s="7" t="s">
        <v>81</v>
      </c>
      <c r="N40" s="7" t="s">
        <v>43</v>
      </c>
      <c r="O40" s="7" t="s">
        <v>44</v>
      </c>
    </row>
    <row r="41" spans="1:15" ht="38.1" customHeight="1">
      <c r="A41" s="7" t="str">
        <f t="shared" si="1"/>
        <v>Y</v>
      </c>
      <c r="B41" s="7" t="s">
        <v>202</v>
      </c>
      <c r="C41" s="7" t="s">
        <v>162</v>
      </c>
      <c r="D41" s="5" t="s">
        <v>203</v>
      </c>
      <c r="E41" s="7" t="s">
        <v>204</v>
      </c>
      <c r="F41" s="7" t="s">
        <v>205</v>
      </c>
      <c r="G41" s="7" t="s">
        <v>20</v>
      </c>
      <c r="H41" s="7" t="s">
        <v>21</v>
      </c>
      <c r="I41" s="5" t="s">
        <v>206</v>
      </c>
      <c r="J41" s="5" t="s">
        <v>207</v>
      </c>
      <c r="K41" s="5" t="s">
        <v>24</v>
      </c>
      <c r="L41" s="5" t="s">
        <v>207</v>
      </c>
      <c r="M41" s="7" t="s">
        <v>25</v>
      </c>
      <c r="N41" s="7" t="s">
        <v>26</v>
      </c>
      <c r="O41" s="7" t="s">
        <v>27</v>
      </c>
    </row>
    <row r="42" spans="1:15" ht="38.1" customHeight="1">
      <c r="A42" s="7" t="str">
        <f t="shared" si="1"/>
        <v>Y</v>
      </c>
      <c r="B42" s="7" t="s">
        <v>208</v>
      </c>
      <c r="C42" s="7" t="s">
        <v>167</v>
      </c>
      <c r="D42" s="5" t="s">
        <v>209</v>
      </c>
      <c r="E42" s="7" t="s">
        <v>204</v>
      </c>
      <c r="F42" s="7" t="s">
        <v>205</v>
      </c>
      <c r="G42" s="7" t="s">
        <v>20</v>
      </c>
      <c r="H42" s="7" t="s">
        <v>21</v>
      </c>
      <c r="I42" s="5" t="s">
        <v>210</v>
      </c>
      <c r="J42" s="5" t="s">
        <v>211</v>
      </c>
      <c r="K42" s="5" t="s">
        <v>24</v>
      </c>
      <c r="L42" s="5" t="s">
        <v>211</v>
      </c>
      <c r="M42" s="7" t="s">
        <v>25</v>
      </c>
      <c r="N42" s="7" t="s">
        <v>26</v>
      </c>
      <c r="O42" s="7" t="s">
        <v>27</v>
      </c>
    </row>
    <row r="43" spans="1:15" ht="38.1" customHeight="1">
      <c r="A43" s="7" t="str">
        <f t="shared" si="1"/>
        <v>Y</v>
      </c>
      <c r="B43" s="7" t="s">
        <v>212</v>
      </c>
      <c r="C43" s="7" t="s">
        <v>172</v>
      </c>
      <c r="D43" s="5" t="s">
        <v>213</v>
      </c>
      <c r="E43" s="7" t="s">
        <v>214</v>
      </c>
      <c r="F43" s="7" t="s">
        <v>205</v>
      </c>
      <c r="G43" s="7" t="s">
        <v>20</v>
      </c>
      <c r="H43" s="7" t="s">
        <v>21</v>
      </c>
      <c r="I43" s="5" t="s">
        <v>210</v>
      </c>
      <c r="J43" s="5" t="s">
        <v>215</v>
      </c>
      <c r="K43" s="5" t="s">
        <v>24</v>
      </c>
      <c r="L43" s="5" t="s">
        <v>215</v>
      </c>
      <c r="M43" s="7" t="s">
        <v>25</v>
      </c>
      <c r="N43" s="7" t="s">
        <v>26</v>
      </c>
      <c r="O43" s="7" t="s">
        <v>27</v>
      </c>
    </row>
    <row r="44" spans="1:15" ht="38.1" customHeight="1">
      <c r="A44" s="7" t="str">
        <f t="shared" si="1"/>
        <v>Y</v>
      </c>
      <c r="B44" s="7" t="s">
        <v>216</v>
      </c>
      <c r="C44" s="7" t="s">
        <v>175</v>
      </c>
      <c r="D44" s="5" t="s">
        <v>217</v>
      </c>
      <c r="E44" s="7" t="s">
        <v>204</v>
      </c>
      <c r="F44" s="7" t="s">
        <v>205</v>
      </c>
      <c r="G44" s="7" t="s">
        <v>85</v>
      </c>
      <c r="H44" s="7" t="s">
        <v>86</v>
      </c>
      <c r="I44" s="5" t="s">
        <v>218</v>
      </c>
      <c r="J44" s="5" t="s">
        <v>219</v>
      </c>
      <c r="K44" s="5" t="s">
        <v>24</v>
      </c>
      <c r="L44" s="5" t="s">
        <v>219</v>
      </c>
      <c r="M44" s="7" t="s">
        <v>25</v>
      </c>
      <c r="N44" s="7" t="s">
        <v>26</v>
      </c>
      <c r="O44" s="7" t="s">
        <v>27</v>
      </c>
    </row>
    <row r="45" spans="1:15" ht="38.1" customHeight="1">
      <c r="A45" s="7" t="str">
        <f t="shared" si="1"/>
        <v>Y</v>
      </c>
      <c r="B45" s="7" t="s">
        <v>220</v>
      </c>
      <c r="C45" s="7" t="s">
        <v>180</v>
      </c>
      <c r="D45" s="5" t="s">
        <v>221</v>
      </c>
      <c r="E45" s="7" t="s">
        <v>204</v>
      </c>
      <c r="F45" s="7" t="s">
        <v>205</v>
      </c>
      <c r="G45" s="7" t="s">
        <v>20</v>
      </c>
      <c r="H45" s="7" t="s">
        <v>86</v>
      </c>
      <c r="I45" s="5" t="s">
        <v>218</v>
      </c>
      <c r="J45" s="5" t="s">
        <v>219</v>
      </c>
      <c r="K45" s="5" t="s">
        <v>24</v>
      </c>
      <c r="L45" s="5" t="s">
        <v>219</v>
      </c>
      <c r="M45" s="7" t="s">
        <v>25</v>
      </c>
      <c r="N45" s="7" t="s">
        <v>26</v>
      </c>
      <c r="O45" s="7" t="s">
        <v>27</v>
      </c>
    </row>
    <row r="46" spans="1:15" ht="38.1" customHeight="1">
      <c r="A46" s="7" t="str">
        <f t="shared" si="1"/>
        <v>Y</v>
      </c>
      <c r="B46" s="7" t="s">
        <v>222</v>
      </c>
      <c r="C46" s="7" t="s">
        <v>183</v>
      </c>
      <c r="D46" s="5" t="s">
        <v>223</v>
      </c>
      <c r="E46" s="7" t="s">
        <v>204</v>
      </c>
      <c r="F46" s="7" t="s">
        <v>205</v>
      </c>
      <c r="G46" s="7" t="s">
        <v>34</v>
      </c>
      <c r="H46" s="7" t="s">
        <v>21</v>
      </c>
      <c r="I46" s="5" t="s">
        <v>210</v>
      </c>
      <c r="J46" s="5" t="s">
        <v>224</v>
      </c>
      <c r="K46" s="5" t="s">
        <v>24</v>
      </c>
      <c r="L46" s="5" t="s">
        <v>224</v>
      </c>
      <c r="M46" s="7" t="s">
        <v>81</v>
      </c>
      <c r="N46" s="7" t="s">
        <v>43</v>
      </c>
      <c r="O46" s="7" t="s">
        <v>27</v>
      </c>
    </row>
    <row r="47" spans="1:15" ht="38.1" customHeight="1">
      <c r="A47" s="7" t="str">
        <f t="shared" si="1"/>
        <v>Y</v>
      </c>
      <c r="B47" s="7" t="s">
        <v>225</v>
      </c>
      <c r="C47" s="7" t="s">
        <v>187</v>
      </c>
      <c r="D47" s="5" t="s">
        <v>226</v>
      </c>
      <c r="E47" s="7" t="s">
        <v>214</v>
      </c>
      <c r="F47" s="7" t="s">
        <v>205</v>
      </c>
      <c r="G47" s="7" t="s">
        <v>34</v>
      </c>
      <c r="H47" s="7" t="s">
        <v>21</v>
      </c>
      <c r="I47" s="5" t="s">
        <v>210</v>
      </c>
      <c r="J47" s="5" t="s">
        <v>227</v>
      </c>
      <c r="K47" s="5" t="s">
        <v>24</v>
      </c>
      <c r="L47" s="5" t="s">
        <v>227</v>
      </c>
      <c r="M47" s="7" t="s">
        <v>81</v>
      </c>
      <c r="N47" s="7" t="s">
        <v>43</v>
      </c>
      <c r="O47" s="7" t="s">
        <v>27</v>
      </c>
    </row>
    <row r="48" spans="1:15" ht="38.1" customHeight="1">
      <c r="A48" s="7" t="str">
        <f t="shared" si="1"/>
        <v>Y</v>
      </c>
      <c r="B48" s="7" t="s">
        <v>228</v>
      </c>
      <c r="C48" s="7" t="s">
        <v>191</v>
      </c>
      <c r="D48" s="5" t="s">
        <v>229</v>
      </c>
      <c r="E48" s="7" t="s">
        <v>204</v>
      </c>
      <c r="F48" s="7" t="s">
        <v>205</v>
      </c>
      <c r="G48" s="7" t="s">
        <v>85</v>
      </c>
      <c r="H48" s="7" t="s">
        <v>86</v>
      </c>
      <c r="I48" s="5" t="s">
        <v>230</v>
      </c>
      <c r="J48" s="5" t="s">
        <v>231</v>
      </c>
      <c r="K48" s="5" t="s">
        <v>232</v>
      </c>
      <c r="L48" s="5" t="s">
        <v>233</v>
      </c>
      <c r="M48" s="7" t="s">
        <v>42</v>
      </c>
      <c r="N48" s="7" t="s">
        <v>43</v>
      </c>
      <c r="O48" s="7" t="s">
        <v>27</v>
      </c>
    </row>
    <row r="49" spans="1:15" ht="38.1" customHeight="1">
      <c r="A49" s="7" t="str">
        <f t="shared" si="1"/>
        <v>Y</v>
      </c>
      <c r="B49" s="7" t="s">
        <v>234</v>
      </c>
      <c r="C49" s="7" t="s">
        <v>195</v>
      </c>
      <c r="D49" s="5" t="s">
        <v>235</v>
      </c>
      <c r="E49" s="7" t="s">
        <v>204</v>
      </c>
      <c r="F49" s="7" t="s">
        <v>205</v>
      </c>
      <c r="G49" s="7" t="s">
        <v>34</v>
      </c>
      <c r="H49" s="7" t="s">
        <v>86</v>
      </c>
      <c r="I49" s="5" t="s">
        <v>230</v>
      </c>
      <c r="J49" s="5" t="s">
        <v>236</v>
      </c>
      <c r="K49" s="5" t="s">
        <v>233</v>
      </c>
      <c r="L49" s="5" t="s">
        <v>237</v>
      </c>
      <c r="M49" s="7" t="s">
        <v>42</v>
      </c>
      <c r="N49" s="7" t="s">
        <v>43</v>
      </c>
      <c r="O49" s="7" t="s">
        <v>27</v>
      </c>
    </row>
    <row r="50" spans="1:15" ht="38.1" customHeight="1">
      <c r="A50" s="7" t="str">
        <f t="shared" si="1"/>
        <v>Y</v>
      </c>
      <c r="B50" s="7" t="s">
        <v>238</v>
      </c>
      <c r="C50" s="7" t="s">
        <v>239</v>
      </c>
      <c r="D50" s="5" t="s">
        <v>240</v>
      </c>
      <c r="E50" s="7" t="s">
        <v>204</v>
      </c>
      <c r="F50" s="7" t="s">
        <v>205</v>
      </c>
      <c r="G50" s="7" t="s">
        <v>34</v>
      </c>
      <c r="H50" s="7" t="s">
        <v>21</v>
      </c>
      <c r="I50" s="5" t="s">
        <v>210</v>
      </c>
      <c r="J50" s="5" t="s">
        <v>224</v>
      </c>
      <c r="K50" s="5" t="s">
        <v>24</v>
      </c>
      <c r="L50" s="5" t="s">
        <v>224</v>
      </c>
      <c r="M50" s="7" t="s">
        <v>81</v>
      </c>
      <c r="N50" s="7" t="s">
        <v>43</v>
      </c>
      <c r="O50" s="7" t="s">
        <v>27</v>
      </c>
    </row>
    <row r="51" spans="1:15" ht="38.1" customHeight="1">
      <c r="A51" s="7" t="str">
        <f t="shared" si="1"/>
        <v>N</v>
      </c>
      <c r="B51" s="7" t="s">
        <v>241</v>
      </c>
      <c r="C51" s="7" t="s">
        <v>242</v>
      </c>
      <c r="D51" s="5" t="s">
        <v>243</v>
      </c>
      <c r="E51" s="7" t="s">
        <v>214</v>
      </c>
      <c r="F51" s="7" t="s">
        <v>205</v>
      </c>
      <c r="G51" s="7" t="s">
        <v>20</v>
      </c>
      <c r="H51" s="7" t="s">
        <v>21</v>
      </c>
      <c r="I51" s="5" t="s">
        <v>210</v>
      </c>
      <c r="J51" s="5" t="s">
        <v>24</v>
      </c>
      <c r="K51" s="5" t="s">
        <v>24</v>
      </c>
      <c r="L51" s="5" t="s">
        <v>24</v>
      </c>
      <c r="M51" s="7" t="s">
        <v>25</v>
      </c>
      <c r="N51" s="7" t="s">
        <v>26</v>
      </c>
      <c r="O51" s="7" t="s">
        <v>44</v>
      </c>
    </row>
    <row r="52" spans="1:15" ht="38.1" customHeight="1">
      <c r="A52" s="7" t="str">
        <f t="shared" si="1"/>
        <v>N</v>
      </c>
      <c r="B52" s="7" t="s">
        <v>244</v>
      </c>
      <c r="C52" s="7" t="s">
        <v>245</v>
      </c>
      <c r="D52" s="5" t="s">
        <v>246</v>
      </c>
      <c r="E52" s="7" t="s">
        <v>214</v>
      </c>
      <c r="F52" s="7" t="s">
        <v>205</v>
      </c>
      <c r="G52" s="7" t="s">
        <v>34</v>
      </c>
      <c r="H52" s="7" t="s">
        <v>21</v>
      </c>
      <c r="I52" s="5" t="s">
        <v>210</v>
      </c>
      <c r="J52" s="5" t="s">
        <v>24</v>
      </c>
      <c r="K52" s="5" t="s">
        <v>24</v>
      </c>
      <c r="L52" s="5" t="s">
        <v>24</v>
      </c>
      <c r="M52" s="7" t="s">
        <v>81</v>
      </c>
      <c r="N52" s="7" t="s">
        <v>26</v>
      </c>
      <c r="O52" s="7" t="s">
        <v>44</v>
      </c>
    </row>
    <row r="53" spans="1:15" ht="38.1" customHeight="1">
      <c r="A53" s="7" t="str">
        <f t="shared" si="1"/>
        <v>N</v>
      </c>
      <c r="B53" s="7" t="s">
        <v>247</v>
      </c>
      <c r="C53" s="7" t="s">
        <v>248</v>
      </c>
      <c r="D53" s="5" t="s">
        <v>249</v>
      </c>
      <c r="E53" s="7" t="s">
        <v>214</v>
      </c>
      <c r="F53" s="7" t="s">
        <v>205</v>
      </c>
      <c r="G53" s="7" t="s">
        <v>20</v>
      </c>
      <c r="H53" s="7" t="s">
        <v>86</v>
      </c>
      <c r="I53" s="5" t="s">
        <v>218</v>
      </c>
      <c r="J53" s="5" t="s">
        <v>24</v>
      </c>
      <c r="K53" s="5" t="s">
        <v>24</v>
      </c>
      <c r="L53" s="5" t="s">
        <v>24</v>
      </c>
      <c r="M53" s="7" t="s">
        <v>25</v>
      </c>
      <c r="N53" s="7" t="s">
        <v>26</v>
      </c>
      <c r="O53" s="7" t="s">
        <v>44</v>
      </c>
    </row>
    <row r="54" spans="1:15" ht="38.1" customHeight="1">
      <c r="A54" s="7" t="str">
        <f t="shared" si="1"/>
        <v>Y</v>
      </c>
      <c r="B54" s="7" t="s">
        <v>250</v>
      </c>
      <c r="C54" s="7" t="s">
        <v>251</v>
      </c>
      <c r="D54" s="5" t="s">
        <v>252</v>
      </c>
      <c r="E54" s="7" t="s">
        <v>204</v>
      </c>
      <c r="F54" s="7" t="s">
        <v>205</v>
      </c>
      <c r="G54" s="7" t="s">
        <v>164</v>
      </c>
      <c r="H54" s="7" t="s">
        <v>86</v>
      </c>
      <c r="I54" s="5" t="s">
        <v>100</v>
      </c>
      <c r="J54" s="5" t="s">
        <v>253</v>
      </c>
      <c r="K54" s="5" t="s">
        <v>24</v>
      </c>
      <c r="L54" s="5" t="s">
        <v>253</v>
      </c>
      <c r="M54" s="7"/>
      <c r="N54" s="7" t="s">
        <v>26</v>
      </c>
      <c r="O54" s="7" t="s">
        <v>44</v>
      </c>
    </row>
    <row r="55" spans="1:15" ht="38.1" customHeight="1">
      <c r="A55" s="7" t="str">
        <f t="shared" si="1"/>
        <v>Y</v>
      </c>
      <c r="B55" s="7" t="s">
        <v>254</v>
      </c>
      <c r="C55" s="7" t="s">
        <v>255</v>
      </c>
      <c r="D55" s="5" t="s">
        <v>256</v>
      </c>
      <c r="E55" s="7" t="s">
        <v>204</v>
      </c>
      <c r="F55" s="7" t="s">
        <v>205</v>
      </c>
      <c r="G55" s="7" t="s">
        <v>85</v>
      </c>
      <c r="H55" s="7" t="s">
        <v>86</v>
      </c>
      <c r="I55" s="5" t="s">
        <v>87</v>
      </c>
      <c r="J55" s="5" t="s">
        <v>257</v>
      </c>
      <c r="K55" s="5" t="s">
        <v>258</v>
      </c>
      <c r="L55" s="5" t="s">
        <v>259</v>
      </c>
      <c r="M55" s="7" t="s">
        <v>25</v>
      </c>
      <c r="N55" s="7" t="s">
        <v>26</v>
      </c>
      <c r="O55" s="7" t="s">
        <v>44</v>
      </c>
    </row>
    <row r="56" spans="1:15" ht="38.1" customHeight="1">
      <c r="A56" s="7" t="str">
        <f t="shared" si="1"/>
        <v>Y</v>
      </c>
      <c r="B56" s="7" t="s">
        <v>260</v>
      </c>
      <c r="C56" s="7" t="s">
        <v>261</v>
      </c>
      <c r="D56" s="5" t="s">
        <v>262</v>
      </c>
      <c r="E56" s="7" t="s">
        <v>204</v>
      </c>
      <c r="F56" s="7" t="s">
        <v>205</v>
      </c>
      <c r="G56" s="7" t="s">
        <v>164</v>
      </c>
      <c r="H56" s="7" t="s">
        <v>86</v>
      </c>
      <c r="I56" s="5" t="s">
        <v>87</v>
      </c>
      <c r="J56" s="5" t="s">
        <v>263</v>
      </c>
      <c r="K56" s="5" t="s">
        <v>24</v>
      </c>
      <c r="L56" s="5" t="s">
        <v>263</v>
      </c>
      <c r="M56" s="7"/>
      <c r="N56" s="7" t="s">
        <v>26</v>
      </c>
      <c r="O56" s="7" t="s">
        <v>44</v>
      </c>
    </row>
    <row r="57" spans="1:15" ht="38.1" customHeight="1">
      <c r="A57" s="7" t="str">
        <f t="shared" si="1"/>
        <v>Y</v>
      </c>
      <c r="B57" s="7" t="s">
        <v>264</v>
      </c>
      <c r="C57" s="7" t="s">
        <v>265</v>
      </c>
      <c r="D57" s="5" t="s">
        <v>266</v>
      </c>
      <c r="E57" s="7" t="s">
        <v>204</v>
      </c>
      <c r="F57" s="7" t="s">
        <v>205</v>
      </c>
      <c r="G57" s="7" t="s">
        <v>164</v>
      </c>
      <c r="H57" s="7" t="s">
        <v>86</v>
      </c>
      <c r="I57" s="5" t="s">
        <v>87</v>
      </c>
      <c r="J57" s="5" t="s">
        <v>267</v>
      </c>
      <c r="K57" s="5" t="s">
        <v>24</v>
      </c>
      <c r="L57" s="5" t="s">
        <v>267</v>
      </c>
      <c r="M57" s="7"/>
      <c r="N57" s="7" t="s">
        <v>26</v>
      </c>
      <c r="O57" s="7" t="s">
        <v>44</v>
      </c>
    </row>
    <row r="58" spans="1:15" ht="38.1" customHeight="1">
      <c r="A58" s="7" t="str">
        <f t="shared" si="1"/>
        <v>Y</v>
      </c>
      <c r="B58" s="7" t="s">
        <v>268</v>
      </c>
      <c r="C58" s="7" t="s">
        <v>269</v>
      </c>
      <c r="D58" s="5" t="s">
        <v>270</v>
      </c>
      <c r="E58" s="7" t="s">
        <v>204</v>
      </c>
      <c r="F58" s="7" t="s">
        <v>205</v>
      </c>
      <c r="G58" s="7" t="s">
        <v>85</v>
      </c>
      <c r="H58" s="7" t="s">
        <v>86</v>
      </c>
      <c r="I58" s="5" t="s">
        <v>100</v>
      </c>
      <c r="J58" s="5" t="s">
        <v>271</v>
      </c>
      <c r="K58" s="5" t="s">
        <v>24</v>
      </c>
      <c r="L58" s="5" t="s">
        <v>271</v>
      </c>
      <c r="M58" s="7" t="s">
        <v>25</v>
      </c>
      <c r="N58" s="7" t="s">
        <v>26</v>
      </c>
      <c r="O58" s="7" t="s">
        <v>44</v>
      </c>
    </row>
    <row r="59" spans="1:15" ht="38.1" customHeight="1">
      <c r="A59" s="7" t="str">
        <f t="shared" si="1"/>
        <v>Y</v>
      </c>
      <c r="B59" s="7" t="s">
        <v>272</v>
      </c>
      <c r="C59" s="7" t="s">
        <v>273</v>
      </c>
      <c r="D59" s="5" t="s">
        <v>274</v>
      </c>
      <c r="E59" s="7" t="s">
        <v>204</v>
      </c>
      <c r="F59" s="7" t="s">
        <v>205</v>
      </c>
      <c r="G59" s="7" t="s">
        <v>85</v>
      </c>
      <c r="H59" s="7" t="s">
        <v>21</v>
      </c>
      <c r="I59" s="5" t="s">
        <v>275</v>
      </c>
      <c r="J59" s="5" t="s">
        <v>276</v>
      </c>
      <c r="K59" s="5" t="s">
        <v>24</v>
      </c>
      <c r="L59" s="5" t="s">
        <v>276</v>
      </c>
      <c r="M59" s="7" t="s">
        <v>25</v>
      </c>
      <c r="N59" s="7" t="s">
        <v>43</v>
      </c>
      <c r="O59" s="7" t="s">
        <v>44</v>
      </c>
    </row>
    <row r="60" spans="1:15" ht="38.1" customHeight="1">
      <c r="A60" s="7" t="str">
        <f t="shared" si="1"/>
        <v>Y</v>
      </c>
      <c r="B60" s="7" t="s">
        <v>277</v>
      </c>
      <c r="C60" s="7" t="s">
        <v>278</v>
      </c>
      <c r="D60" s="5" t="s">
        <v>279</v>
      </c>
      <c r="E60" s="7" t="s">
        <v>204</v>
      </c>
      <c r="F60" s="7" t="s">
        <v>205</v>
      </c>
      <c r="G60" s="7" t="s">
        <v>85</v>
      </c>
      <c r="H60" s="7" t="s">
        <v>21</v>
      </c>
      <c r="I60" s="5" t="s">
        <v>218</v>
      </c>
      <c r="J60" s="5" t="s">
        <v>219</v>
      </c>
      <c r="K60" s="5" t="s">
        <v>24</v>
      </c>
      <c r="L60" s="5" t="s">
        <v>219</v>
      </c>
      <c r="M60" s="7" t="s">
        <v>25</v>
      </c>
      <c r="N60" s="7" t="s">
        <v>26</v>
      </c>
      <c r="O60" s="7" t="s">
        <v>44</v>
      </c>
    </row>
    <row r="61" spans="1:15" ht="38.1" customHeight="1">
      <c r="A61" s="7" t="str">
        <f t="shared" si="1"/>
        <v>Y</v>
      </c>
      <c r="B61" s="7" t="s">
        <v>280</v>
      </c>
      <c r="C61" s="7" t="s">
        <v>281</v>
      </c>
      <c r="D61" s="5" t="s">
        <v>282</v>
      </c>
      <c r="E61" s="7" t="s">
        <v>204</v>
      </c>
      <c r="F61" s="7" t="s">
        <v>205</v>
      </c>
      <c r="G61" s="7" t="s">
        <v>20</v>
      </c>
      <c r="H61" s="7" t="s">
        <v>21</v>
      </c>
      <c r="I61" s="5" t="s">
        <v>210</v>
      </c>
      <c r="J61" s="5" t="s">
        <v>211</v>
      </c>
      <c r="K61" s="5" t="s">
        <v>24</v>
      </c>
      <c r="L61" s="5" t="s">
        <v>211</v>
      </c>
      <c r="M61" s="7" t="s">
        <v>25</v>
      </c>
      <c r="N61" s="7" t="s">
        <v>26</v>
      </c>
      <c r="O61" s="7" t="s">
        <v>27</v>
      </c>
    </row>
    <row r="62" spans="1:15" ht="38.1" customHeight="1">
      <c r="A62" s="7" t="str">
        <f t="shared" si="1"/>
        <v>Y</v>
      </c>
      <c r="B62" s="7" t="s">
        <v>283</v>
      </c>
      <c r="C62" s="7" t="s">
        <v>284</v>
      </c>
      <c r="D62" s="5" t="s">
        <v>285</v>
      </c>
      <c r="E62" s="7" t="s">
        <v>204</v>
      </c>
      <c r="F62" s="7" t="s">
        <v>205</v>
      </c>
      <c r="G62" s="7" t="s">
        <v>164</v>
      </c>
      <c r="H62" s="7" t="s">
        <v>86</v>
      </c>
      <c r="I62" s="5" t="s">
        <v>87</v>
      </c>
      <c r="J62" s="5" t="s">
        <v>286</v>
      </c>
      <c r="K62" s="5" t="s">
        <v>24</v>
      </c>
      <c r="L62" s="5" t="s">
        <v>286</v>
      </c>
      <c r="M62" s="7"/>
      <c r="N62" s="7" t="s">
        <v>26</v>
      </c>
      <c r="O62" s="7" t="s">
        <v>44</v>
      </c>
    </row>
    <row r="63" spans="1:15" ht="38.1" customHeight="1">
      <c r="A63" s="7" t="str">
        <f t="shared" si="1"/>
        <v>Y</v>
      </c>
      <c r="B63" s="7" t="s">
        <v>287</v>
      </c>
      <c r="C63" s="7" t="s">
        <v>288</v>
      </c>
      <c r="D63" s="5" t="s">
        <v>289</v>
      </c>
      <c r="E63" s="7" t="s">
        <v>204</v>
      </c>
      <c r="F63" s="7" t="s">
        <v>205</v>
      </c>
      <c r="G63" s="7" t="s">
        <v>85</v>
      </c>
      <c r="H63" s="7" t="s">
        <v>21</v>
      </c>
      <c r="I63" s="5" t="s">
        <v>290</v>
      </c>
      <c r="J63" s="5" t="s">
        <v>291</v>
      </c>
      <c r="K63" s="5" t="s">
        <v>24</v>
      </c>
      <c r="L63" s="5" t="s">
        <v>291</v>
      </c>
      <c r="M63" s="7" t="s">
        <v>25</v>
      </c>
      <c r="N63" s="7" t="s">
        <v>26</v>
      </c>
      <c r="O63" s="7" t="s">
        <v>44</v>
      </c>
    </row>
    <row r="64" spans="1:15" ht="38.1" customHeight="1">
      <c r="A64" s="7" t="str">
        <f t="shared" si="1"/>
        <v>N</v>
      </c>
      <c r="B64" s="7" t="s">
        <v>292</v>
      </c>
      <c r="C64" s="7" t="s">
        <v>293</v>
      </c>
      <c r="D64" s="5" t="s">
        <v>294</v>
      </c>
      <c r="E64" s="7" t="s">
        <v>214</v>
      </c>
      <c r="F64" s="7" t="s">
        <v>205</v>
      </c>
      <c r="G64" s="7" t="s">
        <v>85</v>
      </c>
      <c r="H64" s="7" t="s">
        <v>86</v>
      </c>
      <c r="I64" s="5" t="s">
        <v>295</v>
      </c>
      <c r="J64" s="5" t="s">
        <v>24</v>
      </c>
      <c r="K64" s="5" t="s">
        <v>24</v>
      </c>
      <c r="L64" s="5" t="s">
        <v>24</v>
      </c>
      <c r="M64" s="7" t="s">
        <v>25</v>
      </c>
      <c r="N64" s="7" t="s">
        <v>26</v>
      </c>
      <c r="O64" s="7" t="s">
        <v>44</v>
      </c>
    </row>
    <row r="65" spans="1:15" ht="38.1" customHeight="1">
      <c r="A65" s="7" t="str">
        <f t="shared" si="1"/>
        <v>N</v>
      </c>
      <c r="B65" s="7" t="s">
        <v>296</v>
      </c>
      <c r="C65" s="7" t="s">
        <v>297</v>
      </c>
      <c r="D65" s="5" t="s">
        <v>298</v>
      </c>
      <c r="E65" s="7" t="s">
        <v>214</v>
      </c>
      <c r="F65" s="7" t="s">
        <v>205</v>
      </c>
      <c r="G65" s="7" t="s">
        <v>164</v>
      </c>
      <c r="H65" s="7" t="s">
        <v>21</v>
      </c>
      <c r="I65" s="5" t="s">
        <v>24</v>
      </c>
      <c r="J65" s="5" t="s">
        <v>24</v>
      </c>
      <c r="K65" s="5" t="s">
        <v>24</v>
      </c>
      <c r="L65" s="5" t="s">
        <v>24</v>
      </c>
      <c r="M65" s="7"/>
      <c r="N65" s="7" t="s">
        <v>26</v>
      </c>
      <c r="O65" s="7" t="s">
        <v>44</v>
      </c>
    </row>
    <row r="66" spans="1:15" ht="38.1" customHeight="1">
      <c r="A66" s="7" t="str">
        <f t="shared" ref="A66:A97" si="2">IF(OR(L66="",L66="[]"),"N","Y")</f>
        <v>Y</v>
      </c>
      <c r="B66" s="7" t="s">
        <v>299</v>
      </c>
      <c r="C66" s="7" t="s">
        <v>300</v>
      </c>
      <c r="D66" s="5" t="s">
        <v>301</v>
      </c>
      <c r="E66" s="7" t="s">
        <v>204</v>
      </c>
      <c r="F66" s="7" t="s">
        <v>205</v>
      </c>
      <c r="G66" s="7" t="s">
        <v>20</v>
      </c>
      <c r="H66" s="7" t="s">
        <v>21</v>
      </c>
      <c r="I66" s="5" t="s">
        <v>210</v>
      </c>
      <c r="J66" s="5" t="s">
        <v>211</v>
      </c>
      <c r="K66" s="5" t="s">
        <v>24</v>
      </c>
      <c r="L66" s="5" t="s">
        <v>211</v>
      </c>
      <c r="M66" s="7" t="s">
        <v>25</v>
      </c>
      <c r="N66" s="7" t="s">
        <v>26</v>
      </c>
      <c r="O66" s="7" t="s">
        <v>27</v>
      </c>
    </row>
    <row r="67" spans="1:15" ht="38.1" customHeight="1">
      <c r="A67" s="7" t="str">
        <f t="shared" si="2"/>
        <v>N</v>
      </c>
      <c r="B67" s="7" t="s">
        <v>302</v>
      </c>
      <c r="C67" s="7" t="s">
        <v>303</v>
      </c>
      <c r="D67" s="5" t="s">
        <v>304</v>
      </c>
      <c r="E67" s="7" t="s">
        <v>214</v>
      </c>
      <c r="F67" s="7" t="s">
        <v>205</v>
      </c>
      <c r="G67" s="7" t="s">
        <v>164</v>
      </c>
      <c r="H67" s="7" t="s">
        <v>21</v>
      </c>
      <c r="I67" s="5" t="s">
        <v>24</v>
      </c>
      <c r="J67" s="5" t="s">
        <v>24</v>
      </c>
      <c r="K67" s="5" t="s">
        <v>24</v>
      </c>
      <c r="L67" s="5" t="s">
        <v>24</v>
      </c>
      <c r="M67" s="7"/>
      <c r="N67" s="7" t="s">
        <v>26</v>
      </c>
      <c r="O67" s="7" t="s">
        <v>44</v>
      </c>
    </row>
    <row r="68" spans="1:15" ht="38.1" customHeight="1">
      <c r="A68" s="7" t="str">
        <f t="shared" si="2"/>
        <v>Y</v>
      </c>
      <c r="B68" s="7" t="s">
        <v>305</v>
      </c>
      <c r="C68" s="7" t="s">
        <v>199</v>
      </c>
      <c r="D68" s="5" t="s">
        <v>306</v>
      </c>
      <c r="E68" s="7" t="s">
        <v>307</v>
      </c>
      <c r="F68" s="7" t="s">
        <v>308</v>
      </c>
      <c r="G68" s="7" t="s">
        <v>20</v>
      </c>
      <c r="H68" s="7" t="s">
        <v>21</v>
      </c>
      <c r="I68" s="5" t="s">
        <v>309</v>
      </c>
      <c r="J68" s="5" t="s">
        <v>310</v>
      </c>
      <c r="K68" s="5" t="s">
        <v>24</v>
      </c>
      <c r="L68" s="5" t="s">
        <v>310</v>
      </c>
      <c r="M68" s="7" t="s">
        <v>25</v>
      </c>
      <c r="N68" s="7" t="s">
        <v>26</v>
      </c>
      <c r="O68" s="7" t="s">
        <v>27</v>
      </c>
    </row>
    <row r="69" spans="1:15" ht="38.1" customHeight="1">
      <c r="A69" s="7" t="str">
        <f t="shared" si="2"/>
        <v>Y</v>
      </c>
      <c r="B69" s="7" t="s">
        <v>311</v>
      </c>
      <c r="C69" s="7" t="s">
        <v>312</v>
      </c>
      <c r="D69" s="5" t="s">
        <v>313</v>
      </c>
      <c r="E69" s="7" t="s">
        <v>307</v>
      </c>
      <c r="F69" s="7" t="s">
        <v>308</v>
      </c>
      <c r="G69" s="7" t="s">
        <v>20</v>
      </c>
      <c r="H69" s="7" t="s">
        <v>21</v>
      </c>
      <c r="I69" s="5" t="s">
        <v>309</v>
      </c>
      <c r="J69" s="5" t="s">
        <v>310</v>
      </c>
      <c r="K69" s="5" t="s">
        <v>24</v>
      </c>
      <c r="L69" s="5" t="s">
        <v>310</v>
      </c>
      <c r="M69" s="7" t="s">
        <v>25</v>
      </c>
      <c r="N69" s="7" t="s">
        <v>26</v>
      </c>
      <c r="O69" s="7" t="s">
        <v>27</v>
      </c>
    </row>
    <row r="70" spans="1:15" ht="38.1" customHeight="1">
      <c r="A70" s="7" t="str">
        <f t="shared" si="2"/>
        <v>Y</v>
      </c>
      <c r="B70" s="7" t="s">
        <v>314</v>
      </c>
      <c r="C70" s="7" t="s">
        <v>315</v>
      </c>
      <c r="D70" s="5" t="s">
        <v>316</v>
      </c>
      <c r="E70" s="7" t="s">
        <v>307</v>
      </c>
      <c r="F70" s="7" t="s">
        <v>308</v>
      </c>
      <c r="G70" s="7" t="s">
        <v>20</v>
      </c>
      <c r="H70" s="7" t="s">
        <v>21</v>
      </c>
      <c r="I70" s="5" t="s">
        <v>317</v>
      </c>
      <c r="J70" s="5" t="s">
        <v>318</v>
      </c>
      <c r="K70" s="5" t="s">
        <v>24</v>
      </c>
      <c r="L70" s="5" t="s">
        <v>318</v>
      </c>
      <c r="M70" s="7" t="s">
        <v>25</v>
      </c>
      <c r="N70" s="7" t="s">
        <v>26</v>
      </c>
      <c r="O70" s="7" t="s">
        <v>27</v>
      </c>
    </row>
    <row r="71" spans="1:15" ht="38.1" customHeight="1">
      <c r="A71" s="7" t="str">
        <f t="shared" si="2"/>
        <v>Y</v>
      </c>
      <c r="B71" s="7" t="s">
        <v>319</v>
      </c>
      <c r="C71" s="7" t="s">
        <v>320</v>
      </c>
      <c r="D71" s="5" t="s">
        <v>321</v>
      </c>
      <c r="E71" s="7" t="s">
        <v>307</v>
      </c>
      <c r="F71" s="7" t="s">
        <v>308</v>
      </c>
      <c r="G71" s="7" t="s">
        <v>20</v>
      </c>
      <c r="H71" s="7" t="s">
        <v>21</v>
      </c>
      <c r="I71" s="5" t="s">
        <v>317</v>
      </c>
      <c r="J71" s="5" t="s">
        <v>318</v>
      </c>
      <c r="K71" s="5" t="s">
        <v>24</v>
      </c>
      <c r="L71" s="5" t="s">
        <v>318</v>
      </c>
      <c r="M71" s="7" t="s">
        <v>25</v>
      </c>
      <c r="N71" s="7" t="s">
        <v>26</v>
      </c>
      <c r="O71" s="7" t="s">
        <v>27</v>
      </c>
    </row>
    <row r="72" spans="1:15" ht="38.1" customHeight="1">
      <c r="A72" s="7" t="str">
        <f t="shared" si="2"/>
        <v>Y</v>
      </c>
      <c r="B72" s="7" t="s">
        <v>322</v>
      </c>
      <c r="C72" s="7" t="s">
        <v>323</v>
      </c>
      <c r="D72" s="5" t="s">
        <v>324</v>
      </c>
      <c r="E72" s="7" t="s">
        <v>307</v>
      </c>
      <c r="F72" s="7" t="s">
        <v>308</v>
      </c>
      <c r="G72" s="7" t="s">
        <v>34</v>
      </c>
      <c r="H72" s="7" t="s">
        <v>21</v>
      </c>
      <c r="I72" s="5" t="s">
        <v>325</v>
      </c>
      <c r="J72" s="5" t="s">
        <v>326</v>
      </c>
      <c r="K72" s="5" t="s">
        <v>327</v>
      </c>
      <c r="L72" s="5" t="s">
        <v>328</v>
      </c>
      <c r="M72" s="7" t="s">
        <v>42</v>
      </c>
      <c r="N72" s="7" t="s">
        <v>43</v>
      </c>
      <c r="O72" s="7" t="s">
        <v>27</v>
      </c>
    </row>
    <row r="73" spans="1:15" ht="38.1" customHeight="1">
      <c r="A73" s="7" t="str">
        <f t="shared" si="2"/>
        <v>Y</v>
      </c>
      <c r="B73" s="7" t="s">
        <v>329</v>
      </c>
      <c r="C73" s="7" t="s">
        <v>330</v>
      </c>
      <c r="D73" s="5" t="s">
        <v>331</v>
      </c>
      <c r="E73" s="7" t="s">
        <v>307</v>
      </c>
      <c r="F73" s="7" t="s">
        <v>308</v>
      </c>
      <c r="G73" s="7" t="s">
        <v>34</v>
      </c>
      <c r="H73" s="7" t="s">
        <v>21</v>
      </c>
      <c r="I73" s="5" t="s">
        <v>325</v>
      </c>
      <c r="J73" s="5" t="s">
        <v>332</v>
      </c>
      <c r="K73" s="5" t="s">
        <v>24</v>
      </c>
      <c r="L73" s="5" t="s">
        <v>332</v>
      </c>
      <c r="M73" s="7" t="s">
        <v>25</v>
      </c>
      <c r="N73" s="7" t="s">
        <v>26</v>
      </c>
      <c r="O73" s="7" t="s">
        <v>44</v>
      </c>
    </row>
    <row r="74" spans="1:15" ht="38.1" customHeight="1">
      <c r="A74" s="7" t="str">
        <f t="shared" si="2"/>
        <v>Y</v>
      </c>
      <c r="B74" s="7" t="s">
        <v>333</v>
      </c>
      <c r="C74" s="7" t="s">
        <v>334</v>
      </c>
      <c r="D74" s="5" t="s">
        <v>335</v>
      </c>
      <c r="E74" s="7" t="s">
        <v>307</v>
      </c>
      <c r="F74" s="7" t="s">
        <v>308</v>
      </c>
      <c r="G74" s="7" t="s">
        <v>20</v>
      </c>
      <c r="H74" s="7" t="s">
        <v>21</v>
      </c>
      <c r="I74" s="5" t="s">
        <v>336</v>
      </c>
      <c r="J74" s="5" t="s">
        <v>337</v>
      </c>
      <c r="K74" s="5" t="s">
        <v>24</v>
      </c>
      <c r="L74" s="5" t="s">
        <v>337</v>
      </c>
      <c r="M74" s="7" t="s">
        <v>25</v>
      </c>
      <c r="N74" s="7" t="s">
        <v>26</v>
      </c>
      <c r="O74" s="7" t="s">
        <v>44</v>
      </c>
    </row>
    <row r="75" spans="1:15" ht="38.1" customHeight="1">
      <c r="A75" s="7" t="str">
        <f t="shared" si="2"/>
        <v>Y</v>
      </c>
      <c r="B75" s="7" t="s">
        <v>338</v>
      </c>
      <c r="C75" s="7" t="s">
        <v>339</v>
      </c>
      <c r="D75" s="5" t="s">
        <v>340</v>
      </c>
      <c r="E75" s="7" t="s">
        <v>307</v>
      </c>
      <c r="F75" s="7" t="s">
        <v>308</v>
      </c>
      <c r="G75" s="7" t="s">
        <v>20</v>
      </c>
      <c r="H75" s="7" t="s">
        <v>21</v>
      </c>
      <c r="I75" s="5" t="s">
        <v>336</v>
      </c>
      <c r="J75" s="5" t="s">
        <v>341</v>
      </c>
      <c r="K75" s="5" t="s">
        <v>24</v>
      </c>
      <c r="L75" s="5" t="s">
        <v>341</v>
      </c>
      <c r="M75" s="7" t="s">
        <v>25</v>
      </c>
      <c r="N75" s="7" t="s">
        <v>26</v>
      </c>
      <c r="O75" s="7" t="s">
        <v>44</v>
      </c>
    </row>
    <row r="76" spans="1:15" ht="38.1" customHeight="1">
      <c r="A76" s="7" t="str">
        <f t="shared" si="2"/>
        <v>Y</v>
      </c>
      <c r="B76" s="7" t="s">
        <v>342</v>
      </c>
      <c r="C76" s="7" t="s">
        <v>343</v>
      </c>
      <c r="D76" s="5" t="s">
        <v>344</v>
      </c>
      <c r="E76" s="7" t="s">
        <v>307</v>
      </c>
      <c r="F76" s="7" t="s">
        <v>308</v>
      </c>
      <c r="G76" s="7" t="s">
        <v>20</v>
      </c>
      <c r="H76" s="7" t="s">
        <v>21</v>
      </c>
      <c r="I76" s="5" t="s">
        <v>336</v>
      </c>
      <c r="J76" s="5" t="s">
        <v>345</v>
      </c>
      <c r="K76" s="5" t="s">
        <v>24</v>
      </c>
      <c r="L76" s="5" t="s">
        <v>345</v>
      </c>
      <c r="M76" s="7" t="s">
        <v>25</v>
      </c>
      <c r="N76" s="7" t="s">
        <v>26</v>
      </c>
      <c r="O76" s="7" t="s">
        <v>44</v>
      </c>
    </row>
    <row r="77" spans="1:15" ht="38.1" customHeight="1">
      <c r="A77" s="7" t="str">
        <f t="shared" si="2"/>
        <v>Y</v>
      </c>
      <c r="B77" s="7" t="s">
        <v>346</v>
      </c>
      <c r="C77" s="7" t="s">
        <v>347</v>
      </c>
      <c r="D77" s="5" t="s">
        <v>348</v>
      </c>
      <c r="E77" s="7" t="s">
        <v>307</v>
      </c>
      <c r="F77" s="7" t="s">
        <v>308</v>
      </c>
      <c r="G77" s="7" t="s">
        <v>34</v>
      </c>
      <c r="H77" s="7" t="s">
        <v>21</v>
      </c>
      <c r="I77" s="5" t="s">
        <v>349</v>
      </c>
      <c r="J77" s="5" t="s">
        <v>350</v>
      </c>
      <c r="K77" s="5" t="s">
        <v>24</v>
      </c>
      <c r="L77" s="5" t="s">
        <v>350</v>
      </c>
      <c r="M77" s="7" t="s">
        <v>81</v>
      </c>
      <c r="N77" s="7" t="s">
        <v>43</v>
      </c>
      <c r="O77" s="7" t="s">
        <v>44</v>
      </c>
    </row>
    <row r="78" spans="1:15" ht="38.1" customHeight="1">
      <c r="A78" s="7" t="str">
        <f t="shared" si="2"/>
        <v>Y</v>
      </c>
      <c r="B78" s="7" t="s">
        <v>351</v>
      </c>
      <c r="C78" s="7" t="s">
        <v>352</v>
      </c>
      <c r="D78" s="5" t="s">
        <v>353</v>
      </c>
      <c r="E78" s="7" t="s">
        <v>307</v>
      </c>
      <c r="F78" s="7" t="s">
        <v>308</v>
      </c>
      <c r="G78" s="7" t="s">
        <v>34</v>
      </c>
      <c r="H78" s="7" t="s">
        <v>21</v>
      </c>
      <c r="I78" s="5" t="s">
        <v>349</v>
      </c>
      <c r="J78" s="5" t="s">
        <v>350</v>
      </c>
      <c r="K78" s="5" t="s">
        <v>24</v>
      </c>
      <c r="L78" s="5" t="s">
        <v>350</v>
      </c>
      <c r="M78" s="7" t="s">
        <v>81</v>
      </c>
      <c r="N78" s="7" t="s">
        <v>43</v>
      </c>
      <c r="O78" s="7" t="s">
        <v>44</v>
      </c>
    </row>
    <row r="79" spans="1:15" ht="38.1" customHeight="1">
      <c r="A79" s="7" t="str">
        <f t="shared" si="2"/>
        <v>Y</v>
      </c>
      <c r="B79" s="7" t="s">
        <v>354</v>
      </c>
      <c r="C79" s="7" t="s">
        <v>355</v>
      </c>
      <c r="D79" s="5" t="s">
        <v>356</v>
      </c>
      <c r="E79" s="7" t="s">
        <v>307</v>
      </c>
      <c r="F79" s="7" t="s">
        <v>308</v>
      </c>
      <c r="G79" s="7" t="s">
        <v>85</v>
      </c>
      <c r="H79" s="7" t="s">
        <v>21</v>
      </c>
      <c r="I79" s="5" t="s">
        <v>357</v>
      </c>
      <c r="J79" s="5" t="s">
        <v>358</v>
      </c>
      <c r="K79" s="5" t="s">
        <v>359</v>
      </c>
      <c r="L79" s="5" t="s">
        <v>360</v>
      </c>
      <c r="M79" s="7" t="s">
        <v>25</v>
      </c>
      <c r="N79" s="7" t="s">
        <v>43</v>
      </c>
      <c r="O79" s="7" t="s">
        <v>27</v>
      </c>
    </row>
    <row r="80" spans="1:15" ht="38.1" customHeight="1">
      <c r="A80" s="7" t="str">
        <f t="shared" si="2"/>
        <v>Y</v>
      </c>
      <c r="B80" s="7" t="s">
        <v>361</v>
      </c>
      <c r="C80" s="7" t="s">
        <v>362</v>
      </c>
      <c r="D80" s="5" t="s">
        <v>363</v>
      </c>
      <c r="E80" s="7" t="s">
        <v>307</v>
      </c>
      <c r="F80" s="7" t="s">
        <v>308</v>
      </c>
      <c r="G80" s="7" t="s">
        <v>85</v>
      </c>
      <c r="H80" s="7" t="s">
        <v>21</v>
      </c>
      <c r="I80" s="5" t="s">
        <v>357</v>
      </c>
      <c r="J80" s="5" t="s">
        <v>358</v>
      </c>
      <c r="K80" s="5" t="s">
        <v>24</v>
      </c>
      <c r="L80" s="5" t="s">
        <v>358</v>
      </c>
      <c r="M80" s="7" t="s">
        <v>25</v>
      </c>
      <c r="N80" s="7" t="s">
        <v>26</v>
      </c>
      <c r="O80" s="7" t="s">
        <v>27</v>
      </c>
    </row>
    <row r="81" spans="1:15" ht="38.1" customHeight="1">
      <c r="A81" s="7" t="str">
        <f t="shared" si="2"/>
        <v>Y</v>
      </c>
      <c r="B81" s="7" t="s">
        <v>364</v>
      </c>
      <c r="C81" s="7" t="s">
        <v>365</v>
      </c>
      <c r="D81" s="5" t="s">
        <v>366</v>
      </c>
      <c r="E81" s="7" t="s">
        <v>307</v>
      </c>
      <c r="F81" s="7" t="s">
        <v>308</v>
      </c>
      <c r="G81" s="7" t="s">
        <v>34</v>
      </c>
      <c r="H81" s="7" t="s">
        <v>21</v>
      </c>
      <c r="I81" s="5" t="s">
        <v>357</v>
      </c>
      <c r="J81" s="5" t="s">
        <v>358</v>
      </c>
      <c r="K81" s="5" t="s">
        <v>359</v>
      </c>
      <c r="L81" s="5" t="s">
        <v>360</v>
      </c>
      <c r="M81" s="7" t="s">
        <v>25</v>
      </c>
      <c r="N81" s="7" t="s">
        <v>26</v>
      </c>
      <c r="O81" s="7" t="s">
        <v>27</v>
      </c>
    </row>
    <row r="82" spans="1:15" ht="38.1" customHeight="1">
      <c r="A82" s="7" t="str">
        <f t="shared" si="2"/>
        <v>Y</v>
      </c>
      <c r="B82" s="7" t="s">
        <v>367</v>
      </c>
      <c r="C82" s="7" t="s">
        <v>368</v>
      </c>
      <c r="D82" s="5" t="s">
        <v>369</v>
      </c>
      <c r="E82" s="7" t="s">
        <v>307</v>
      </c>
      <c r="F82" s="7" t="s">
        <v>308</v>
      </c>
      <c r="G82" s="7" t="s">
        <v>85</v>
      </c>
      <c r="H82" s="7" t="s">
        <v>21</v>
      </c>
      <c r="I82" s="5" t="s">
        <v>370</v>
      </c>
      <c r="J82" s="5" t="s">
        <v>359</v>
      </c>
      <c r="K82" s="5" t="s">
        <v>24</v>
      </c>
      <c r="L82" s="5" t="s">
        <v>359</v>
      </c>
      <c r="M82" s="7" t="s">
        <v>25</v>
      </c>
      <c r="N82" s="7" t="s">
        <v>26</v>
      </c>
      <c r="O82" s="7" t="s">
        <v>27</v>
      </c>
    </row>
    <row r="83" spans="1:15" ht="38.1" customHeight="1">
      <c r="A83" s="7" t="str">
        <f t="shared" si="2"/>
        <v>Y</v>
      </c>
      <c r="B83" s="7" t="s">
        <v>371</v>
      </c>
      <c r="C83" s="7" t="s">
        <v>372</v>
      </c>
      <c r="D83" s="5" t="s">
        <v>373</v>
      </c>
      <c r="E83" s="7" t="s">
        <v>307</v>
      </c>
      <c r="F83" s="7" t="s">
        <v>308</v>
      </c>
      <c r="G83" s="7" t="s">
        <v>20</v>
      </c>
      <c r="H83" s="7" t="s">
        <v>21</v>
      </c>
      <c r="I83" s="5" t="s">
        <v>370</v>
      </c>
      <c r="J83" s="5" t="s">
        <v>359</v>
      </c>
      <c r="K83" s="5" t="s">
        <v>24</v>
      </c>
      <c r="L83" s="5" t="s">
        <v>359</v>
      </c>
      <c r="M83" s="7" t="s">
        <v>25</v>
      </c>
      <c r="N83" s="7" t="s">
        <v>26</v>
      </c>
      <c r="O83" s="7" t="s">
        <v>27</v>
      </c>
    </row>
    <row r="84" spans="1:15" ht="38.1" customHeight="1">
      <c r="A84" s="7" t="str">
        <f t="shared" si="2"/>
        <v>Y</v>
      </c>
      <c r="B84" s="7" t="s">
        <v>374</v>
      </c>
      <c r="C84" s="7" t="s">
        <v>375</v>
      </c>
      <c r="D84" s="5" t="s">
        <v>376</v>
      </c>
      <c r="E84" s="7" t="s">
        <v>307</v>
      </c>
      <c r="F84" s="7" t="s">
        <v>308</v>
      </c>
      <c r="G84" s="7" t="s">
        <v>85</v>
      </c>
      <c r="H84" s="7" t="s">
        <v>21</v>
      </c>
      <c r="I84" s="5" t="s">
        <v>377</v>
      </c>
      <c r="J84" s="5" t="s">
        <v>378</v>
      </c>
      <c r="K84" s="5" t="s">
        <v>24</v>
      </c>
      <c r="L84" s="5" t="s">
        <v>378</v>
      </c>
      <c r="M84" s="7" t="s">
        <v>25</v>
      </c>
      <c r="N84" s="7" t="s">
        <v>26</v>
      </c>
      <c r="O84" s="7" t="s">
        <v>27</v>
      </c>
    </row>
    <row r="85" spans="1:15" ht="38.1" customHeight="1">
      <c r="A85" s="7" t="str">
        <f t="shared" si="2"/>
        <v>Y</v>
      </c>
      <c r="B85" s="7" t="s">
        <v>379</v>
      </c>
      <c r="C85" s="7" t="s">
        <v>380</v>
      </c>
      <c r="D85" s="5" t="s">
        <v>381</v>
      </c>
      <c r="E85" s="7" t="s">
        <v>307</v>
      </c>
      <c r="F85" s="7" t="s">
        <v>308</v>
      </c>
      <c r="G85" s="7" t="s">
        <v>34</v>
      </c>
      <c r="H85" s="7" t="s">
        <v>21</v>
      </c>
      <c r="I85" s="5" t="s">
        <v>377</v>
      </c>
      <c r="J85" s="5" t="s">
        <v>382</v>
      </c>
      <c r="K85" s="5" t="s">
        <v>24</v>
      </c>
      <c r="L85" s="5" t="s">
        <v>382</v>
      </c>
      <c r="M85" s="7" t="s">
        <v>81</v>
      </c>
      <c r="N85" s="7" t="s">
        <v>43</v>
      </c>
      <c r="O85" s="7" t="s">
        <v>27</v>
      </c>
    </row>
    <row r="86" spans="1:15" ht="38.1" customHeight="1">
      <c r="A86" s="7" t="str">
        <f t="shared" si="2"/>
        <v>Y</v>
      </c>
      <c r="B86" s="7" t="s">
        <v>383</v>
      </c>
      <c r="C86" s="7" t="s">
        <v>384</v>
      </c>
      <c r="D86" s="5" t="s">
        <v>385</v>
      </c>
      <c r="E86" s="7" t="s">
        <v>307</v>
      </c>
      <c r="F86" s="7" t="s">
        <v>308</v>
      </c>
      <c r="G86" s="7" t="s">
        <v>34</v>
      </c>
      <c r="H86" s="7" t="s">
        <v>86</v>
      </c>
      <c r="I86" s="5" t="s">
        <v>386</v>
      </c>
      <c r="J86" s="5" t="s">
        <v>387</v>
      </c>
      <c r="K86" s="5" t="s">
        <v>24</v>
      </c>
      <c r="L86" s="5" t="s">
        <v>387</v>
      </c>
      <c r="M86" s="7" t="s">
        <v>25</v>
      </c>
      <c r="N86" s="7" t="s">
        <v>26</v>
      </c>
      <c r="O86" s="7" t="s">
        <v>27</v>
      </c>
    </row>
    <row r="87" spans="1:15" ht="38.1" customHeight="1">
      <c r="A87" s="7" t="str">
        <f t="shared" si="2"/>
        <v>Y</v>
      </c>
      <c r="B87" s="7" t="s">
        <v>388</v>
      </c>
      <c r="C87" s="7" t="s">
        <v>389</v>
      </c>
      <c r="D87" s="5" t="s">
        <v>390</v>
      </c>
      <c r="E87" s="7" t="s">
        <v>307</v>
      </c>
      <c r="F87" s="7" t="s">
        <v>308</v>
      </c>
      <c r="G87" s="7" t="s">
        <v>34</v>
      </c>
      <c r="H87" s="7" t="s">
        <v>86</v>
      </c>
      <c r="I87" s="5" t="s">
        <v>386</v>
      </c>
      <c r="J87" s="5" t="s">
        <v>387</v>
      </c>
      <c r="K87" s="5" t="s">
        <v>24</v>
      </c>
      <c r="L87" s="5" t="s">
        <v>387</v>
      </c>
      <c r="M87" s="7" t="s">
        <v>25</v>
      </c>
      <c r="N87" s="7" t="s">
        <v>26</v>
      </c>
      <c r="O87" s="7" t="s">
        <v>27</v>
      </c>
    </row>
    <row r="88" spans="1:15" ht="38.1" customHeight="1">
      <c r="A88" s="7" t="str">
        <f t="shared" si="2"/>
        <v>Y</v>
      </c>
      <c r="B88" s="7" t="s">
        <v>391</v>
      </c>
      <c r="C88" s="7" t="s">
        <v>392</v>
      </c>
      <c r="D88" s="5" t="s">
        <v>393</v>
      </c>
      <c r="E88" s="7" t="s">
        <v>307</v>
      </c>
      <c r="F88" s="7" t="s">
        <v>308</v>
      </c>
      <c r="G88" s="7" t="s">
        <v>34</v>
      </c>
      <c r="H88" s="7" t="s">
        <v>108</v>
      </c>
      <c r="I88" s="5" t="s">
        <v>394</v>
      </c>
      <c r="J88" s="5" t="s">
        <v>395</v>
      </c>
      <c r="K88" s="5" t="s">
        <v>396</v>
      </c>
      <c r="L88" s="5" t="s">
        <v>397</v>
      </c>
      <c r="M88" s="7" t="s">
        <v>81</v>
      </c>
      <c r="N88" s="7" t="s">
        <v>43</v>
      </c>
      <c r="O88" s="7" t="s">
        <v>44</v>
      </c>
    </row>
    <row r="89" spans="1:15" ht="38.1" customHeight="1">
      <c r="A89" s="7" t="str">
        <f t="shared" si="2"/>
        <v>Y</v>
      </c>
      <c r="B89" s="7" t="s">
        <v>398</v>
      </c>
      <c r="C89" s="7" t="s">
        <v>399</v>
      </c>
      <c r="D89" s="5" t="s">
        <v>400</v>
      </c>
      <c r="E89" s="7" t="s">
        <v>307</v>
      </c>
      <c r="F89" s="7" t="s">
        <v>308</v>
      </c>
      <c r="G89" s="7" t="s">
        <v>34</v>
      </c>
      <c r="H89" s="7" t="s">
        <v>108</v>
      </c>
      <c r="I89" s="5" t="s">
        <v>394</v>
      </c>
      <c r="J89" s="5" t="s">
        <v>396</v>
      </c>
      <c r="K89" s="5" t="s">
        <v>24</v>
      </c>
      <c r="L89" s="5" t="s">
        <v>396</v>
      </c>
      <c r="M89" s="7" t="s">
        <v>81</v>
      </c>
      <c r="N89" s="7" t="s">
        <v>43</v>
      </c>
      <c r="O89" s="7" t="s">
        <v>27</v>
      </c>
    </row>
    <row r="90" spans="1:15" ht="38.1" customHeight="1">
      <c r="A90" s="7" t="str">
        <f t="shared" si="2"/>
        <v>Y</v>
      </c>
      <c r="B90" s="7" t="s">
        <v>401</v>
      </c>
      <c r="C90" s="7" t="s">
        <v>402</v>
      </c>
      <c r="D90" s="5" t="s">
        <v>403</v>
      </c>
      <c r="E90" s="7" t="s">
        <v>307</v>
      </c>
      <c r="F90" s="7" t="s">
        <v>308</v>
      </c>
      <c r="G90" s="7" t="s">
        <v>85</v>
      </c>
      <c r="H90" s="7" t="s">
        <v>86</v>
      </c>
      <c r="I90" s="5" t="s">
        <v>404</v>
      </c>
      <c r="J90" s="5" t="s">
        <v>327</v>
      </c>
      <c r="K90" s="5" t="s">
        <v>24</v>
      </c>
      <c r="L90" s="5" t="s">
        <v>327</v>
      </c>
      <c r="M90" s="7" t="s">
        <v>25</v>
      </c>
      <c r="N90" s="7" t="s">
        <v>26</v>
      </c>
      <c r="O90" s="7" t="s">
        <v>27</v>
      </c>
    </row>
    <row r="91" spans="1:15" ht="38.1" customHeight="1">
      <c r="A91" s="7" t="str">
        <f t="shared" si="2"/>
        <v>Y</v>
      </c>
      <c r="B91" s="7" t="s">
        <v>405</v>
      </c>
      <c r="C91" s="7" t="s">
        <v>406</v>
      </c>
      <c r="D91" s="5" t="s">
        <v>407</v>
      </c>
      <c r="E91" s="7" t="s">
        <v>307</v>
      </c>
      <c r="F91" s="7" t="s">
        <v>308</v>
      </c>
      <c r="G91" s="7" t="s">
        <v>85</v>
      </c>
      <c r="H91" s="7" t="s">
        <v>86</v>
      </c>
      <c r="I91" s="5" t="s">
        <v>404</v>
      </c>
      <c r="J91" s="5" t="s">
        <v>327</v>
      </c>
      <c r="K91" s="5" t="s">
        <v>24</v>
      </c>
      <c r="L91" s="5" t="s">
        <v>327</v>
      </c>
      <c r="M91" s="7" t="s">
        <v>25</v>
      </c>
      <c r="N91" s="7" t="s">
        <v>26</v>
      </c>
      <c r="O91" s="7" t="s">
        <v>27</v>
      </c>
    </row>
    <row r="92" spans="1:15" ht="38.1" customHeight="1">
      <c r="A92" s="7" t="str">
        <f t="shared" si="2"/>
        <v>Y</v>
      </c>
      <c r="B92" s="7" t="s">
        <v>408</v>
      </c>
      <c r="C92" s="7" t="s">
        <v>409</v>
      </c>
      <c r="D92" s="5" t="s">
        <v>410</v>
      </c>
      <c r="E92" s="7" t="s">
        <v>307</v>
      </c>
      <c r="F92" s="7" t="s">
        <v>308</v>
      </c>
      <c r="G92" s="7" t="s">
        <v>20</v>
      </c>
      <c r="H92" s="7" t="s">
        <v>86</v>
      </c>
      <c r="I92" s="5" t="s">
        <v>411</v>
      </c>
      <c r="J92" s="5" t="s">
        <v>412</v>
      </c>
      <c r="K92" s="5" t="s">
        <v>24</v>
      </c>
      <c r="L92" s="5" t="s">
        <v>412</v>
      </c>
      <c r="M92" s="7" t="s">
        <v>25</v>
      </c>
      <c r="N92" s="7" t="s">
        <v>26</v>
      </c>
      <c r="O92" s="7" t="s">
        <v>27</v>
      </c>
    </row>
    <row r="93" spans="1:15" ht="38.1" customHeight="1">
      <c r="A93" s="7" t="str">
        <f t="shared" si="2"/>
        <v>Y</v>
      </c>
      <c r="B93" s="7" t="s">
        <v>413</v>
      </c>
      <c r="C93" s="7" t="s">
        <v>414</v>
      </c>
      <c r="D93" s="5" t="s">
        <v>415</v>
      </c>
      <c r="E93" s="7" t="s">
        <v>307</v>
      </c>
      <c r="F93" s="7" t="s">
        <v>308</v>
      </c>
      <c r="G93" s="7" t="s">
        <v>20</v>
      </c>
      <c r="H93" s="7" t="s">
        <v>86</v>
      </c>
      <c r="I93" s="5" t="s">
        <v>411</v>
      </c>
      <c r="J93" s="5" t="s">
        <v>416</v>
      </c>
      <c r="K93" s="5" t="s">
        <v>24</v>
      </c>
      <c r="L93" s="5" t="s">
        <v>416</v>
      </c>
      <c r="M93" s="7" t="s">
        <v>25</v>
      </c>
      <c r="N93" s="7" t="s">
        <v>26</v>
      </c>
      <c r="O93" s="7" t="s">
        <v>27</v>
      </c>
    </row>
    <row r="94" spans="1:15" ht="38.1" customHeight="1">
      <c r="A94" s="7" t="str">
        <f t="shared" si="2"/>
        <v>Y</v>
      </c>
      <c r="B94" s="7" t="s">
        <v>417</v>
      </c>
      <c r="C94" s="7" t="s">
        <v>418</v>
      </c>
      <c r="D94" s="5" t="s">
        <v>419</v>
      </c>
      <c r="E94" s="7" t="s">
        <v>307</v>
      </c>
      <c r="F94" s="7" t="s">
        <v>308</v>
      </c>
      <c r="G94" s="7" t="s">
        <v>34</v>
      </c>
      <c r="H94" s="7" t="s">
        <v>21</v>
      </c>
      <c r="I94" s="5" t="s">
        <v>420</v>
      </c>
      <c r="J94" s="5" t="s">
        <v>421</v>
      </c>
      <c r="K94" s="5" t="s">
        <v>422</v>
      </c>
      <c r="L94" s="5" t="s">
        <v>423</v>
      </c>
      <c r="M94" s="7" t="s">
        <v>25</v>
      </c>
      <c r="N94" s="7" t="s">
        <v>26</v>
      </c>
      <c r="O94" s="7" t="s">
        <v>44</v>
      </c>
    </row>
    <row r="95" spans="1:15" ht="38.1" customHeight="1">
      <c r="A95" s="7" t="str">
        <f t="shared" si="2"/>
        <v>Y</v>
      </c>
      <c r="B95" s="7" t="s">
        <v>424</v>
      </c>
      <c r="C95" s="7" t="s">
        <v>425</v>
      </c>
      <c r="D95" s="5" t="s">
        <v>426</v>
      </c>
      <c r="E95" s="7" t="s">
        <v>307</v>
      </c>
      <c r="F95" s="7" t="s">
        <v>308</v>
      </c>
      <c r="G95" s="7" t="s">
        <v>34</v>
      </c>
      <c r="H95" s="7" t="s">
        <v>21</v>
      </c>
      <c r="I95" s="5" t="s">
        <v>420</v>
      </c>
      <c r="J95" s="5" t="s">
        <v>422</v>
      </c>
      <c r="K95" s="5" t="s">
        <v>421</v>
      </c>
      <c r="L95" s="5" t="s">
        <v>427</v>
      </c>
      <c r="M95" s="7" t="s">
        <v>25</v>
      </c>
      <c r="N95" s="7" t="s">
        <v>26</v>
      </c>
      <c r="O95" s="7" t="s">
        <v>44</v>
      </c>
    </row>
    <row r="96" spans="1:15" ht="38.1" customHeight="1">
      <c r="A96" s="7" t="str">
        <f t="shared" si="2"/>
        <v>Y</v>
      </c>
      <c r="B96" s="7" t="s">
        <v>428</v>
      </c>
      <c r="C96" s="7" t="s">
        <v>429</v>
      </c>
      <c r="D96" s="5" t="s">
        <v>430</v>
      </c>
      <c r="E96" s="7" t="s">
        <v>307</v>
      </c>
      <c r="F96" s="7" t="s">
        <v>308</v>
      </c>
      <c r="G96" s="7" t="s">
        <v>34</v>
      </c>
      <c r="H96" s="7" t="s">
        <v>21</v>
      </c>
      <c r="I96" s="5" t="s">
        <v>420</v>
      </c>
      <c r="J96" s="5" t="s">
        <v>431</v>
      </c>
      <c r="K96" s="5" t="s">
        <v>24</v>
      </c>
      <c r="L96" s="5" t="s">
        <v>431</v>
      </c>
      <c r="M96" s="7"/>
      <c r="N96" s="7" t="s">
        <v>26</v>
      </c>
      <c r="O96" s="7" t="s">
        <v>44</v>
      </c>
    </row>
    <row r="97" spans="1:15" ht="38.1" customHeight="1">
      <c r="A97" s="7" t="str">
        <f t="shared" si="2"/>
        <v>Y</v>
      </c>
      <c r="B97" s="7" t="s">
        <v>432</v>
      </c>
      <c r="C97" s="7" t="s">
        <v>433</v>
      </c>
      <c r="D97" s="5" t="s">
        <v>434</v>
      </c>
      <c r="E97" s="7" t="s">
        <v>307</v>
      </c>
      <c r="F97" s="7" t="s">
        <v>308</v>
      </c>
      <c r="G97" s="7" t="s">
        <v>34</v>
      </c>
      <c r="H97" s="7" t="s">
        <v>21</v>
      </c>
      <c r="I97" s="5" t="s">
        <v>435</v>
      </c>
      <c r="J97" s="5" t="s">
        <v>423</v>
      </c>
      <c r="K97" s="5" t="s">
        <v>327</v>
      </c>
      <c r="L97" s="5" t="s">
        <v>436</v>
      </c>
      <c r="M97" s="7" t="s">
        <v>42</v>
      </c>
      <c r="N97" s="7" t="s">
        <v>43</v>
      </c>
      <c r="O97" s="7" t="s">
        <v>27</v>
      </c>
    </row>
    <row r="98" spans="1:15" ht="38.1" customHeight="1">
      <c r="A98" s="7" t="str">
        <f t="shared" ref="A98:A129" si="3">IF(OR(L98="",L98="[]"),"N","Y")</f>
        <v>N</v>
      </c>
      <c r="B98" s="7" t="s">
        <v>437</v>
      </c>
      <c r="C98" s="7" t="s">
        <v>438</v>
      </c>
      <c r="D98" s="5" t="s">
        <v>439</v>
      </c>
      <c r="E98" s="7" t="s">
        <v>307</v>
      </c>
      <c r="F98" s="7" t="s">
        <v>308</v>
      </c>
      <c r="G98" s="7" t="s">
        <v>20</v>
      </c>
      <c r="H98" s="7" t="s">
        <v>21</v>
      </c>
      <c r="I98" s="5" t="s">
        <v>435</v>
      </c>
      <c r="J98" s="5" t="s">
        <v>24</v>
      </c>
      <c r="K98" s="5" t="s">
        <v>24</v>
      </c>
      <c r="L98" s="5" t="s">
        <v>24</v>
      </c>
      <c r="M98" s="7"/>
      <c r="N98" s="7" t="s">
        <v>26</v>
      </c>
      <c r="O98" s="7" t="s">
        <v>27</v>
      </c>
    </row>
    <row r="99" spans="1:15" ht="38.1" customHeight="1">
      <c r="A99" s="7" t="str">
        <f t="shared" si="3"/>
        <v>Y</v>
      </c>
      <c r="B99" s="7" t="s">
        <v>440</v>
      </c>
      <c r="C99" s="7" t="s">
        <v>441</v>
      </c>
      <c r="D99" s="5" t="s">
        <v>442</v>
      </c>
      <c r="E99" s="7" t="s">
        <v>307</v>
      </c>
      <c r="F99" s="7" t="s">
        <v>308</v>
      </c>
      <c r="G99" s="7" t="s">
        <v>20</v>
      </c>
      <c r="H99" s="7" t="s">
        <v>21</v>
      </c>
      <c r="I99" s="5" t="s">
        <v>443</v>
      </c>
      <c r="J99" s="5" t="s">
        <v>444</v>
      </c>
      <c r="K99" s="5" t="s">
        <v>24</v>
      </c>
      <c r="L99" s="5" t="s">
        <v>444</v>
      </c>
      <c r="M99" s="7" t="s">
        <v>25</v>
      </c>
      <c r="N99" s="7" t="s">
        <v>26</v>
      </c>
      <c r="O99" s="7" t="s">
        <v>27</v>
      </c>
    </row>
    <row r="100" spans="1:15" ht="38.1" customHeight="1">
      <c r="A100" s="7" t="str">
        <f t="shared" si="3"/>
        <v>Y</v>
      </c>
      <c r="B100" s="7" t="s">
        <v>445</v>
      </c>
      <c r="C100" s="7" t="s">
        <v>446</v>
      </c>
      <c r="D100" s="5" t="s">
        <v>447</v>
      </c>
      <c r="E100" s="7" t="s">
        <v>214</v>
      </c>
      <c r="F100" s="7" t="s">
        <v>308</v>
      </c>
      <c r="G100" s="7" t="s">
        <v>164</v>
      </c>
      <c r="H100" s="7" t="s">
        <v>21</v>
      </c>
      <c r="I100" s="5" t="s">
        <v>443</v>
      </c>
      <c r="J100" s="5" t="s">
        <v>448</v>
      </c>
      <c r="K100" s="5" t="s">
        <v>24</v>
      </c>
      <c r="L100" s="5" t="s">
        <v>448</v>
      </c>
      <c r="M100" s="7" t="s">
        <v>25</v>
      </c>
      <c r="N100" s="7" t="s">
        <v>26</v>
      </c>
      <c r="O100" s="7" t="s">
        <v>27</v>
      </c>
    </row>
    <row r="101" spans="1:15" ht="38.1" customHeight="1">
      <c r="A101" s="7" t="str">
        <f t="shared" si="3"/>
        <v>Y</v>
      </c>
      <c r="B101" s="7" t="s">
        <v>449</v>
      </c>
      <c r="C101" s="7" t="s">
        <v>450</v>
      </c>
      <c r="D101" s="5" t="s">
        <v>451</v>
      </c>
      <c r="E101" s="7" t="s">
        <v>307</v>
      </c>
      <c r="F101" s="7" t="s">
        <v>308</v>
      </c>
      <c r="G101" s="7" t="s">
        <v>85</v>
      </c>
      <c r="H101" s="7" t="s">
        <v>21</v>
      </c>
      <c r="I101" s="5" t="s">
        <v>452</v>
      </c>
      <c r="J101" s="5" t="s">
        <v>453</v>
      </c>
      <c r="K101" s="5" t="s">
        <v>444</v>
      </c>
      <c r="L101" s="5" t="s">
        <v>454</v>
      </c>
      <c r="M101" s="7" t="s">
        <v>42</v>
      </c>
      <c r="N101" s="7" t="s">
        <v>43</v>
      </c>
      <c r="O101" s="7" t="s">
        <v>44</v>
      </c>
    </row>
    <row r="102" spans="1:15" ht="38.1" customHeight="1">
      <c r="A102" s="7" t="str">
        <f t="shared" si="3"/>
        <v>Y</v>
      </c>
      <c r="B102" s="7" t="s">
        <v>455</v>
      </c>
      <c r="C102" s="7" t="s">
        <v>456</v>
      </c>
      <c r="D102" s="5" t="s">
        <v>457</v>
      </c>
      <c r="E102" s="7" t="s">
        <v>307</v>
      </c>
      <c r="F102" s="7" t="s">
        <v>308</v>
      </c>
      <c r="G102" s="7" t="s">
        <v>34</v>
      </c>
      <c r="H102" s="7" t="s">
        <v>21</v>
      </c>
      <c r="I102" s="5" t="s">
        <v>336</v>
      </c>
      <c r="J102" s="5" t="s">
        <v>458</v>
      </c>
      <c r="K102" s="5" t="s">
        <v>24</v>
      </c>
      <c r="L102" s="5" t="s">
        <v>458</v>
      </c>
      <c r="M102" s="7" t="s">
        <v>25</v>
      </c>
      <c r="N102" s="7" t="s">
        <v>26</v>
      </c>
      <c r="O102" s="7" t="s">
        <v>44</v>
      </c>
    </row>
    <row r="103" spans="1:15" ht="38.1" customHeight="1">
      <c r="A103" s="7" t="str">
        <f t="shared" si="3"/>
        <v>Y</v>
      </c>
      <c r="B103" s="7" t="s">
        <v>459</v>
      </c>
      <c r="C103" s="7" t="s">
        <v>460</v>
      </c>
      <c r="D103" s="5" t="s">
        <v>461</v>
      </c>
      <c r="E103" s="7" t="s">
        <v>307</v>
      </c>
      <c r="F103" s="7" t="s">
        <v>308</v>
      </c>
      <c r="G103" s="7" t="s">
        <v>20</v>
      </c>
      <c r="H103" s="7" t="s">
        <v>86</v>
      </c>
      <c r="I103" s="5" t="s">
        <v>349</v>
      </c>
      <c r="J103" s="5" t="s">
        <v>462</v>
      </c>
      <c r="K103" s="5" t="s">
        <v>24</v>
      </c>
      <c r="L103" s="5" t="s">
        <v>462</v>
      </c>
      <c r="M103" s="7" t="s">
        <v>25</v>
      </c>
      <c r="N103" s="7" t="s">
        <v>26</v>
      </c>
      <c r="O103" s="7" t="s">
        <v>44</v>
      </c>
    </row>
    <row r="104" spans="1:15" ht="38.1" customHeight="1">
      <c r="A104" s="7" t="str">
        <f t="shared" si="3"/>
        <v>Y</v>
      </c>
      <c r="B104" s="7" t="s">
        <v>463</v>
      </c>
      <c r="C104" s="7" t="s">
        <v>464</v>
      </c>
      <c r="D104" s="5" t="s">
        <v>465</v>
      </c>
      <c r="E104" s="7" t="s">
        <v>466</v>
      </c>
      <c r="F104" s="7" t="s">
        <v>467</v>
      </c>
      <c r="G104" s="7" t="s">
        <v>20</v>
      </c>
      <c r="H104" s="7" t="s">
        <v>21</v>
      </c>
      <c r="I104" s="5" t="s">
        <v>468</v>
      </c>
      <c r="J104" s="5" t="s">
        <v>469</v>
      </c>
      <c r="K104" s="5" t="s">
        <v>24</v>
      </c>
      <c r="L104" s="5" t="s">
        <v>469</v>
      </c>
      <c r="M104" s="7" t="s">
        <v>25</v>
      </c>
      <c r="N104" s="7" t="s">
        <v>26</v>
      </c>
      <c r="O104" s="7" t="s">
        <v>27</v>
      </c>
    </row>
    <row r="105" spans="1:15" ht="38.1" customHeight="1">
      <c r="A105" s="7" t="str">
        <f t="shared" si="3"/>
        <v>Y</v>
      </c>
      <c r="B105" s="7" t="s">
        <v>470</v>
      </c>
      <c r="C105" s="7" t="s">
        <v>471</v>
      </c>
      <c r="D105" s="5" t="s">
        <v>472</v>
      </c>
      <c r="E105" s="7" t="s">
        <v>466</v>
      </c>
      <c r="F105" s="7" t="s">
        <v>467</v>
      </c>
      <c r="G105" s="7" t="s">
        <v>20</v>
      </c>
      <c r="H105" s="7" t="s">
        <v>21</v>
      </c>
      <c r="I105" s="5" t="s">
        <v>468</v>
      </c>
      <c r="J105" s="5" t="s">
        <v>473</v>
      </c>
      <c r="K105" s="5" t="s">
        <v>24</v>
      </c>
      <c r="L105" s="5" t="s">
        <v>473</v>
      </c>
      <c r="M105" s="7" t="s">
        <v>25</v>
      </c>
      <c r="N105" s="7" t="s">
        <v>26</v>
      </c>
      <c r="O105" s="7" t="s">
        <v>27</v>
      </c>
    </row>
    <row r="106" spans="1:15" ht="38.1" customHeight="1">
      <c r="A106" s="7" t="str">
        <f t="shared" si="3"/>
        <v>Y</v>
      </c>
      <c r="B106" s="7" t="s">
        <v>474</v>
      </c>
      <c r="C106" s="7" t="s">
        <v>475</v>
      </c>
      <c r="D106" s="5" t="s">
        <v>476</v>
      </c>
      <c r="E106" s="7" t="s">
        <v>466</v>
      </c>
      <c r="F106" s="7" t="s">
        <v>467</v>
      </c>
      <c r="G106" s="7" t="s">
        <v>20</v>
      </c>
      <c r="H106" s="7" t="s">
        <v>21</v>
      </c>
      <c r="I106" s="5" t="s">
        <v>468</v>
      </c>
      <c r="J106" s="5" t="s">
        <v>477</v>
      </c>
      <c r="K106" s="5" t="s">
        <v>24</v>
      </c>
      <c r="L106" s="5" t="s">
        <v>477</v>
      </c>
      <c r="M106" s="7" t="s">
        <v>25</v>
      </c>
      <c r="N106" s="7" t="s">
        <v>26</v>
      </c>
      <c r="O106" s="7" t="s">
        <v>27</v>
      </c>
    </row>
    <row r="107" spans="1:15" ht="38.1" customHeight="1">
      <c r="A107" s="7" t="str">
        <f t="shared" si="3"/>
        <v>Y</v>
      </c>
      <c r="B107" s="7" t="s">
        <v>478</v>
      </c>
      <c r="C107" s="7" t="s">
        <v>479</v>
      </c>
      <c r="D107" s="5" t="s">
        <v>480</v>
      </c>
      <c r="E107" s="7" t="s">
        <v>466</v>
      </c>
      <c r="F107" s="7" t="s">
        <v>467</v>
      </c>
      <c r="G107" s="7" t="s">
        <v>20</v>
      </c>
      <c r="H107" s="7" t="s">
        <v>21</v>
      </c>
      <c r="I107" s="5" t="s">
        <v>481</v>
      </c>
      <c r="J107" s="5" t="s">
        <v>482</v>
      </c>
      <c r="K107" s="5" t="s">
        <v>24</v>
      </c>
      <c r="L107" s="5" t="s">
        <v>482</v>
      </c>
      <c r="M107" s="7" t="s">
        <v>25</v>
      </c>
      <c r="N107" s="7" t="s">
        <v>26</v>
      </c>
      <c r="O107" s="7" t="s">
        <v>27</v>
      </c>
    </row>
    <row r="108" spans="1:15" ht="38.1" customHeight="1">
      <c r="A108" s="7" t="str">
        <f t="shared" si="3"/>
        <v>Y</v>
      </c>
      <c r="B108" s="7" t="s">
        <v>483</v>
      </c>
      <c r="C108" s="7" t="s">
        <v>484</v>
      </c>
      <c r="D108" s="5" t="s">
        <v>485</v>
      </c>
      <c r="E108" s="7" t="s">
        <v>466</v>
      </c>
      <c r="F108" s="7" t="s">
        <v>467</v>
      </c>
      <c r="G108" s="7" t="s">
        <v>34</v>
      </c>
      <c r="H108" s="7" t="s">
        <v>21</v>
      </c>
      <c r="I108" s="5" t="s">
        <v>481</v>
      </c>
      <c r="J108" s="5" t="s">
        <v>486</v>
      </c>
      <c r="K108" s="5" t="s">
        <v>487</v>
      </c>
      <c r="L108" s="5" t="s">
        <v>488</v>
      </c>
      <c r="M108" s="7" t="s">
        <v>42</v>
      </c>
      <c r="N108" s="7" t="s">
        <v>26</v>
      </c>
      <c r="O108" s="7" t="s">
        <v>27</v>
      </c>
    </row>
    <row r="109" spans="1:15" ht="38.1" customHeight="1">
      <c r="A109" s="7" t="str">
        <f t="shared" si="3"/>
        <v>Y</v>
      </c>
      <c r="B109" s="7" t="s">
        <v>489</v>
      </c>
      <c r="C109" s="7" t="s">
        <v>490</v>
      </c>
      <c r="D109" s="5" t="s">
        <v>491</v>
      </c>
      <c r="E109" s="7" t="s">
        <v>466</v>
      </c>
      <c r="F109" s="7" t="s">
        <v>467</v>
      </c>
      <c r="G109" s="7" t="s">
        <v>20</v>
      </c>
      <c r="H109" s="7" t="s">
        <v>21</v>
      </c>
      <c r="I109" s="5" t="s">
        <v>492</v>
      </c>
      <c r="J109" s="5" t="s">
        <v>493</v>
      </c>
      <c r="K109" s="5" t="s">
        <v>24</v>
      </c>
      <c r="L109" s="5" t="s">
        <v>493</v>
      </c>
      <c r="M109" s="7" t="s">
        <v>25</v>
      </c>
      <c r="N109" s="7" t="s">
        <v>26</v>
      </c>
      <c r="O109" s="7" t="s">
        <v>27</v>
      </c>
    </row>
    <row r="110" spans="1:15" ht="38.1" customHeight="1">
      <c r="A110" s="7" t="str">
        <f t="shared" si="3"/>
        <v>Y</v>
      </c>
      <c r="B110" s="7" t="s">
        <v>494</v>
      </c>
      <c r="C110" s="7" t="s">
        <v>495</v>
      </c>
      <c r="D110" s="5" t="s">
        <v>496</v>
      </c>
      <c r="E110" s="7" t="s">
        <v>466</v>
      </c>
      <c r="F110" s="7" t="s">
        <v>467</v>
      </c>
      <c r="G110" s="7" t="s">
        <v>34</v>
      </c>
      <c r="H110" s="7" t="s">
        <v>21</v>
      </c>
      <c r="I110" s="5" t="s">
        <v>492</v>
      </c>
      <c r="J110" s="5" t="s">
        <v>493</v>
      </c>
      <c r="K110" s="5" t="s">
        <v>24</v>
      </c>
      <c r="L110" s="5" t="s">
        <v>493</v>
      </c>
      <c r="M110" s="7" t="s">
        <v>25</v>
      </c>
      <c r="N110" s="7" t="s">
        <v>26</v>
      </c>
      <c r="O110" s="7" t="s">
        <v>27</v>
      </c>
    </row>
    <row r="111" spans="1:15" ht="38.1" customHeight="1">
      <c r="A111" s="7" t="str">
        <f t="shared" si="3"/>
        <v>Y</v>
      </c>
      <c r="B111" s="7" t="s">
        <v>497</v>
      </c>
      <c r="C111" s="7" t="s">
        <v>498</v>
      </c>
      <c r="D111" s="5" t="s">
        <v>499</v>
      </c>
      <c r="E111" s="7" t="s">
        <v>466</v>
      </c>
      <c r="F111" s="7" t="s">
        <v>467</v>
      </c>
      <c r="G111" s="7" t="s">
        <v>34</v>
      </c>
      <c r="H111" s="7" t="s">
        <v>21</v>
      </c>
      <c r="I111" s="5" t="s">
        <v>492</v>
      </c>
      <c r="J111" s="5" t="s">
        <v>500</v>
      </c>
      <c r="K111" s="5" t="s">
        <v>24</v>
      </c>
      <c r="L111" s="5" t="s">
        <v>500</v>
      </c>
      <c r="M111" s="7" t="s">
        <v>25</v>
      </c>
      <c r="N111" s="7" t="s">
        <v>26</v>
      </c>
      <c r="O111" s="7" t="s">
        <v>27</v>
      </c>
    </row>
    <row r="112" spans="1:15" ht="38.1" customHeight="1">
      <c r="A112" s="7" t="str">
        <f t="shared" si="3"/>
        <v>Y</v>
      </c>
      <c r="B112" s="7" t="s">
        <v>501</v>
      </c>
      <c r="C112" s="7" t="s">
        <v>502</v>
      </c>
      <c r="D112" s="5" t="s">
        <v>503</v>
      </c>
      <c r="E112" s="7" t="s">
        <v>466</v>
      </c>
      <c r="F112" s="7" t="s">
        <v>467</v>
      </c>
      <c r="G112" s="7" t="s">
        <v>34</v>
      </c>
      <c r="H112" s="7" t="s">
        <v>86</v>
      </c>
      <c r="I112" s="5" t="s">
        <v>504</v>
      </c>
      <c r="J112" s="5" t="s">
        <v>505</v>
      </c>
      <c r="K112" s="5" t="s">
        <v>506</v>
      </c>
      <c r="L112" s="5" t="s">
        <v>507</v>
      </c>
      <c r="M112" s="7" t="s">
        <v>42</v>
      </c>
      <c r="N112" s="7" t="s">
        <v>43</v>
      </c>
      <c r="O112" s="7" t="s">
        <v>27</v>
      </c>
    </row>
    <row r="113" spans="1:15" ht="38.1" customHeight="1">
      <c r="A113" s="7" t="str">
        <f t="shared" si="3"/>
        <v>Y</v>
      </c>
      <c r="B113" s="7" t="s">
        <v>508</v>
      </c>
      <c r="C113" s="7" t="s">
        <v>509</v>
      </c>
      <c r="D113" s="5" t="s">
        <v>510</v>
      </c>
      <c r="E113" s="7" t="s">
        <v>466</v>
      </c>
      <c r="F113" s="7" t="s">
        <v>467</v>
      </c>
      <c r="G113" s="7" t="s">
        <v>34</v>
      </c>
      <c r="H113" s="7" t="s">
        <v>86</v>
      </c>
      <c r="I113" s="5" t="s">
        <v>511</v>
      </c>
      <c r="J113" s="5" t="s">
        <v>512</v>
      </c>
      <c r="K113" s="5" t="s">
        <v>24</v>
      </c>
      <c r="L113" s="5" t="s">
        <v>512</v>
      </c>
      <c r="M113" s="7" t="s">
        <v>81</v>
      </c>
      <c r="N113" s="7" t="s">
        <v>43</v>
      </c>
      <c r="O113" s="7" t="s">
        <v>27</v>
      </c>
    </row>
    <row r="114" spans="1:15" ht="38.1" customHeight="1">
      <c r="A114" s="7" t="str">
        <f t="shared" si="3"/>
        <v>Y</v>
      </c>
      <c r="B114" s="7" t="s">
        <v>513</v>
      </c>
      <c r="C114" s="7" t="s">
        <v>514</v>
      </c>
      <c r="D114" s="5" t="s">
        <v>515</v>
      </c>
      <c r="E114" s="7" t="s">
        <v>466</v>
      </c>
      <c r="F114" s="7" t="s">
        <v>467</v>
      </c>
      <c r="G114" s="7" t="s">
        <v>34</v>
      </c>
      <c r="H114" s="7" t="s">
        <v>86</v>
      </c>
      <c r="I114" s="5" t="s">
        <v>516</v>
      </c>
      <c r="J114" s="5" t="s">
        <v>517</v>
      </c>
      <c r="K114" s="5" t="s">
        <v>24</v>
      </c>
      <c r="L114" s="5" t="s">
        <v>517</v>
      </c>
      <c r="M114" s="7" t="s">
        <v>81</v>
      </c>
      <c r="N114" s="7" t="s">
        <v>43</v>
      </c>
      <c r="O114" s="7" t="s">
        <v>27</v>
      </c>
    </row>
    <row r="115" spans="1:15" ht="38.1" customHeight="1">
      <c r="A115" s="7" t="str">
        <f t="shared" si="3"/>
        <v>Y</v>
      </c>
      <c r="B115" s="7" t="s">
        <v>518</v>
      </c>
      <c r="C115" s="7" t="s">
        <v>519</v>
      </c>
      <c r="D115" s="5" t="s">
        <v>520</v>
      </c>
      <c r="E115" s="7" t="s">
        <v>466</v>
      </c>
      <c r="F115" s="7" t="s">
        <v>467</v>
      </c>
      <c r="G115" s="7" t="s">
        <v>85</v>
      </c>
      <c r="H115" s="7" t="s">
        <v>86</v>
      </c>
      <c r="I115" s="5" t="s">
        <v>516</v>
      </c>
      <c r="J115" s="5" t="s">
        <v>521</v>
      </c>
      <c r="K115" s="5" t="s">
        <v>24</v>
      </c>
      <c r="L115" s="5" t="s">
        <v>521</v>
      </c>
      <c r="M115" s="7"/>
      <c r="N115" s="7" t="s">
        <v>26</v>
      </c>
      <c r="O115" s="7" t="s">
        <v>27</v>
      </c>
    </row>
    <row r="116" spans="1:15" ht="38.1" customHeight="1">
      <c r="A116" s="7" t="str">
        <f t="shared" si="3"/>
        <v>Y</v>
      </c>
      <c r="B116" s="7" t="s">
        <v>522</v>
      </c>
      <c r="C116" s="7" t="s">
        <v>523</v>
      </c>
      <c r="D116" s="5" t="s">
        <v>524</v>
      </c>
      <c r="E116" s="7" t="s">
        <v>466</v>
      </c>
      <c r="F116" s="7" t="s">
        <v>467</v>
      </c>
      <c r="G116" s="7" t="s">
        <v>20</v>
      </c>
      <c r="H116" s="7" t="s">
        <v>86</v>
      </c>
      <c r="I116" s="5" t="s">
        <v>525</v>
      </c>
      <c r="J116" s="5" t="s">
        <v>526</v>
      </c>
      <c r="K116" s="5" t="s">
        <v>24</v>
      </c>
      <c r="L116" s="5" t="s">
        <v>526</v>
      </c>
      <c r="M116" s="7" t="s">
        <v>25</v>
      </c>
      <c r="N116" s="7" t="s">
        <v>26</v>
      </c>
      <c r="O116" s="7" t="s">
        <v>27</v>
      </c>
    </row>
    <row r="117" spans="1:15" ht="38.1" customHeight="1">
      <c r="A117" s="7" t="str">
        <f t="shared" si="3"/>
        <v>Y</v>
      </c>
      <c r="B117" s="7" t="s">
        <v>527</v>
      </c>
      <c r="C117" s="7" t="s">
        <v>528</v>
      </c>
      <c r="D117" s="5" t="s">
        <v>529</v>
      </c>
      <c r="E117" s="7" t="s">
        <v>466</v>
      </c>
      <c r="F117" s="7" t="s">
        <v>467</v>
      </c>
      <c r="G117" s="7" t="s">
        <v>20</v>
      </c>
      <c r="H117" s="7" t="s">
        <v>86</v>
      </c>
      <c r="I117" s="5" t="s">
        <v>525</v>
      </c>
      <c r="J117" s="5" t="s">
        <v>530</v>
      </c>
      <c r="K117" s="5" t="s">
        <v>24</v>
      </c>
      <c r="L117" s="5" t="s">
        <v>530</v>
      </c>
      <c r="M117" s="7" t="s">
        <v>25</v>
      </c>
      <c r="N117" s="7" t="s">
        <v>26</v>
      </c>
      <c r="O117" s="7" t="s">
        <v>27</v>
      </c>
    </row>
    <row r="118" spans="1:15" ht="38.1" customHeight="1">
      <c r="A118" s="7" t="str">
        <f t="shared" si="3"/>
        <v>Y</v>
      </c>
      <c r="B118" s="7" t="s">
        <v>531</v>
      </c>
      <c r="C118" s="7" t="s">
        <v>532</v>
      </c>
      <c r="D118" s="5" t="s">
        <v>533</v>
      </c>
      <c r="E118" s="7" t="s">
        <v>466</v>
      </c>
      <c r="F118" s="7" t="s">
        <v>467</v>
      </c>
      <c r="G118" s="7" t="s">
        <v>34</v>
      </c>
      <c r="H118" s="7" t="s">
        <v>86</v>
      </c>
      <c r="I118" s="5" t="s">
        <v>534</v>
      </c>
      <c r="J118" s="5" t="s">
        <v>535</v>
      </c>
      <c r="K118" s="5" t="s">
        <v>24</v>
      </c>
      <c r="L118" s="5" t="s">
        <v>535</v>
      </c>
      <c r="M118" s="7" t="s">
        <v>81</v>
      </c>
      <c r="N118" s="7" t="s">
        <v>43</v>
      </c>
      <c r="O118" s="7" t="s">
        <v>27</v>
      </c>
    </row>
    <row r="119" spans="1:15" ht="38.1" customHeight="1">
      <c r="A119" s="7" t="str">
        <f t="shared" si="3"/>
        <v>Y</v>
      </c>
      <c r="B119" s="7" t="s">
        <v>536</v>
      </c>
      <c r="C119" s="7" t="s">
        <v>537</v>
      </c>
      <c r="D119" s="5" t="s">
        <v>538</v>
      </c>
      <c r="E119" s="7" t="s">
        <v>466</v>
      </c>
      <c r="F119" s="7" t="s">
        <v>467</v>
      </c>
      <c r="G119" s="7" t="s">
        <v>20</v>
      </c>
      <c r="H119" s="7" t="s">
        <v>86</v>
      </c>
      <c r="I119" s="5" t="s">
        <v>534</v>
      </c>
      <c r="J119" s="5" t="s">
        <v>539</v>
      </c>
      <c r="K119" s="5" t="s">
        <v>24</v>
      </c>
      <c r="L119" s="5" t="s">
        <v>539</v>
      </c>
      <c r="M119" s="7" t="s">
        <v>25</v>
      </c>
      <c r="N119" s="7" t="s">
        <v>26</v>
      </c>
      <c r="O119" s="7" t="s">
        <v>27</v>
      </c>
    </row>
    <row r="120" spans="1:15" ht="38.1" customHeight="1">
      <c r="A120" s="7" t="str">
        <f t="shared" si="3"/>
        <v>Y</v>
      </c>
      <c r="B120" s="7" t="s">
        <v>540</v>
      </c>
      <c r="C120" s="7" t="s">
        <v>541</v>
      </c>
      <c r="D120" s="5" t="s">
        <v>542</v>
      </c>
      <c r="E120" s="7" t="s">
        <v>466</v>
      </c>
      <c r="F120" s="7" t="s">
        <v>467</v>
      </c>
      <c r="G120" s="7" t="s">
        <v>20</v>
      </c>
      <c r="H120" s="7" t="s">
        <v>86</v>
      </c>
      <c r="I120" s="5" t="s">
        <v>543</v>
      </c>
      <c r="J120" s="5" t="s">
        <v>544</v>
      </c>
      <c r="K120" s="5" t="s">
        <v>24</v>
      </c>
      <c r="L120" s="5" t="s">
        <v>544</v>
      </c>
      <c r="M120" s="7" t="s">
        <v>25</v>
      </c>
      <c r="N120" s="7" t="s">
        <v>26</v>
      </c>
      <c r="O120" s="7" t="s">
        <v>27</v>
      </c>
    </row>
    <row r="121" spans="1:15" ht="38.1" customHeight="1">
      <c r="A121" s="7" t="str">
        <f t="shared" si="3"/>
        <v>Y</v>
      </c>
      <c r="B121" s="7" t="s">
        <v>545</v>
      </c>
      <c r="C121" s="7" t="s">
        <v>546</v>
      </c>
      <c r="D121" s="5" t="s">
        <v>547</v>
      </c>
      <c r="E121" s="7" t="s">
        <v>548</v>
      </c>
      <c r="F121" s="7" t="s">
        <v>549</v>
      </c>
      <c r="G121" s="7" t="s">
        <v>34</v>
      </c>
      <c r="H121" s="7" t="s">
        <v>86</v>
      </c>
      <c r="I121" s="5" t="s">
        <v>550</v>
      </c>
      <c r="J121" s="5" t="s">
        <v>551</v>
      </c>
      <c r="K121" s="5" t="s">
        <v>552</v>
      </c>
      <c r="L121" s="5" t="s">
        <v>553</v>
      </c>
      <c r="M121" s="7" t="s">
        <v>25</v>
      </c>
      <c r="N121" s="7" t="s">
        <v>26</v>
      </c>
      <c r="O121" s="7" t="s">
        <v>27</v>
      </c>
    </row>
    <row r="122" spans="1:15" ht="38.1" customHeight="1">
      <c r="A122" s="7" t="str">
        <f t="shared" si="3"/>
        <v>Y</v>
      </c>
      <c r="B122" s="7" t="s">
        <v>554</v>
      </c>
      <c r="C122" s="7" t="s">
        <v>555</v>
      </c>
      <c r="D122" s="5" t="s">
        <v>556</v>
      </c>
      <c r="E122" s="7" t="s">
        <v>548</v>
      </c>
      <c r="F122" s="7" t="s">
        <v>549</v>
      </c>
      <c r="G122" s="7" t="s">
        <v>34</v>
      </c>
      <c r="H122" s="7" t="s">
        <v>86</v>
      </c>
      <c r="I122" s="5" t="s">
        <v>550</v>
      </c>
      <c r="J122" s="5" t="s">
        <v>551</v>
      </c>
      <c r="K122" s="5" t="s">
        <v>552</v>
      </c>
      <c r="L122" s="5" t="s">
        <v>553</v>
      </c>
      <c r="M122" s="7" t="s">
        <v>25</v>
      </c>
      <c r="N122" s="7" t="s">
        <v>26</v>
      </c>
      <c r="O122" s="7" t="s">
        <v>27</v>
      </c>
    </row>
    <row r="123" spans="1:15" ht="38.1" customHeight="1">
      <c r="A123" s="7" t="str">
        <f t="shared" si="3"/>
        <v>N</v>
      </c>
      <c r="B123" s="7" t="s">
        <v>557</v>
      </c>
      <c r="C123" s="7" t="s">
        <v>558</v>
      </c>
      <c r="D123" s="5" t="s">
        <v>559</v>
      </c>
      <c r="E123" s="7" t="s">
        <v>548</v>
      </c>
      <c r="F123" s="7" t="s">
        <v>549</v>
      </c>
      <c r="G123" s="7" t="s">
        <v>20</v>
      </c>
      <c r="H123" s="7" t="s">
        <v>108</v>
      </c>
      <c r="I123" s="5" t="s">
        <v>24</v>
      </c>
      <c r="J123" s="5" t="s">
        <v>24</v>
      </c>
      <c r="K123" s="5" t="s">
        <v>24</v>
      </c>
      <c r="L123" s="5" t="s">
        <v>24</v>
      </c>
      <c r="M123" s="7"/>
      <c r="N123" s="7" t="s">
        <v>26</v>
      </c>
      <c r="O123" s="7" t="s">
        <v>27</v>
      </c>
    </row>
    <row r="124" spans="1:15" ht="38.1" customHeight="1">
      <c r="A124" s="7" t="str">
        <f t="shared" si="3"/>
        <v>N</v>
      </c>
      <c r="B124" s="7" t="s">
        <v>560</v>
      </c>
      <c r="C124" s="7" t="s">
        <v>561</v>
      </c>
      <c r="D124" s="5" t="s">
        <v>562</v>
      </c>
      <c r="E124" s="7" t="s">
        <v>214</v>
      </c>
      <c r="F124" s="7" t="s">
        <v>563</v>
      </c>
      <c r="G124" s="7" t="s">
        <v>20</v>
      </c>
      <c r="H124" s="7" t="s">
        <v>21</v>
      </c>
      <c r="I124" s="5" t="s">
        <v>24</v>
      </c>
      <c r="J124" s="5" t="s">
        <v>24</v>
      </c>
      <c r="K124" s="5" t="s">
        <v>24</v>
      </c>
      <c r="L124" s="5" t="s">
        <v>24</v>
      </c>
      <c r="M124" s="7"/>
      <c r="N124" s="7" t="s">
        <v>26</v>
      </c>
      <c r="O124" s="7" t="s">
        <v>27</v>
      </c>
    </row>
    <row r="125" spans="1:15" ht="38.1" customHeight="1">
      <c r="A125" s="7" t="str">
        <f t="shared" si="3"/>
        <v>N</v>
      </c>
      <c r="B125" s="7" t="s">
        <v>564</v>
      </c>
      <c r="C125" s="7" t="s">
        <v>565</v>
      </c>
      <c r="D125" s="5" t="s">
        <v>566</v>
      </c>
      <c r="E125" s="7" t="s">
        <v>214</v>
      </c>
      <c r="F125" s="7" t="s">
        <v>563</v>
      </c>
      <c r="G125" s="7" t="s">
        <v>20</v>
      </c>
      <c r="H125" s="7" t="s">
        <v>21</v>
      </c>
      <c r="I125" s="5" t="s">
        <v>24</v>
      </c>
      <c r="J125" s="5" t="s">
        <v>24</v>
      </c>
      <c r="K125" s="5" t="s">
        <v>24</v>
      </c>
      <c r="L125" s="5" t="s">
        <v>24</v>
      </c>
      <c r="M125" s="7"/>
      <c r="N125" s="7" t="s">
        <v>26</v>
      </c>
      <c r="O125" s="7" t="s">
        <v>27</v>
      </c>
    </row>
    <row r="126" spans="1:15" ht="38.1" customHeight="1">
      <c r="A126" s="7" t="str">
        <f t="shared" si="3"/>
        <v>N</v>
      </c>
      <c r="B126" s="7" t="s">
        <v>567</v>
      </c>
      <c r="C126" s="7" t="s">
        <v>568</v>
      </c>
      <c r="D126" s="5" t="s">
        <v>569</v>
      </c>
      <c r="E126" s="7" t="s">
        <v>214</v>
      </c>
      <c r="F126" s="7" t="s">
        <v>563</v>
      </c>
      <c r="G126" s="7" t="s">
        <v>20</v>
      </c>
      <c r="H126" s="7" t="s">
        <v>21</v>
      </c>
      <c r="I126" s="5" t="s">
        <v>24</v>
      </c>
      <c r="J126" s="5" t="s">
        <v>24</v>
      </c>
      <c r="K126" s="5" t="s">
        <v>24</v>
      </c>
      <c r="L126" s="5" t="s">
        <v>24</v>
      </c>
      <c r="M126" s="7"/>
      <c r="N126" s="7" t="s">
        <v>26</v>
      </c>
      <c r="O126" s="7" t="s">
        <v>27</v>
      </c>
    </row>
    <row r="127" spans="1:15" ht="38.1" customHeight="1">
      <c r="A127" s="7" t="str">
        <f t="shared" si="3"/>
        <v>N</v>
      </c>
      <c r="B127" s="7" t="s">
        <v>570</v>
      </c>
      <c r="C127" s="7" t="s">
        <v>571</v>
      </c>
      <c r="D127" s="5" t="s">
        <v>572</v>
      </c>
      <c r="E127" s="7" t="s">
        <v>214</v>
      </c>
      <c r="F127" s="7" t="s">
        <v>563</v>
      </c>
      <c r="G127" s="7" t="s">
        <v>20</v>
      </c>
      <c r="H127" s="7" t="s">
        <v>21</v>
      </c>
      <c r="I127" s="5" t="s">
        <v>24</v>
      </c>
      <c r="J127" s="5" t="s">
        <v>24</v>
      </c>
      <c r="K127" s="5" t="s">
        <v>24</v>
      </c>
      <c r="L127" s="5" t="s">
        <v>24</v>
      </c>
      <c r="M127" s="7"/>
      <c r="N127" s="7" t="s">
        <v>26</v>
      </c>
      <c r="O127" s="7" t="s">
        <v>27</v>
      </c>
    </row>
    <row r="128" spans="1:15" ht="38.1" customHeight="1">
      <c r="A128" s="7" t="str">
        <f t="shared" si="3"/>
        <v>N</v>
      </c>
      <c r="B128" s="7" t="s">
        <v>573</v>
      </c>
      <c r="C128" s="7" t="s">
        <v>574</v>
      </c>
      <c r="D128" s="5" t="s">
        <v>575</v>
      </c>
      <c r="E128" s="7" t="s">
        <v>214</v>
      </c>
      <c r="F128" s="7" t="s">
        <v>563</v>
      </c>
      <c r="G128" s="7" t="s">
        <v>20</v>
      </c>
      <c r="H128" s="7" t="s">
        <v>21</v>
      </c>
      <c r="I128" s="5" t="s">
        <v>24</v>
      </c>
      <c r="J128" s="5" t="s">
        <v>24</v>
      </c>
      <c r="K128" s="5" t="s">
        <v>24</v>
      </c>
      <c r="L128" s="5" t="s">
        <v>24</v>
      </c>
      <c r="M128" s="7"/>
      <c r="N128" s="7" t="s">
        <v>26</v>
      </c>
      <c r="O128" s="7" t="s">
        <v>27</v>
      </c>
    </row>
    <row r="129" spans="1:15" ht="38.1" customHeight="1">
      <c r="A129" s="7" t="str">
        <f t="shared" si="3"/>
        <v>N</v>
      </c>
      <c r="B129" s="7" t="s">
        <v>576</v>
      </c>
      <c r="C129" s="7" t="s">
        <v>577</v>
      </c>
      <c r="D129" s="5" t="s">
        <v>578</v>
      </c>
      <c r="E129" s="7" t="s">
        <v>214</v>
      </c>
      <c r="F129" s="7" t="s">
        <v>563</v>
      </c>
      <c r="G129" s="7" t="s">
        <v>20</v>
      </c>
      <c r="H129" s="7" t="s">
        <v>21</v>
      </c>
      <c r="I129" s="5" t="s">
        <v>24</v>
      </c>
      <c r="J129" s="5" t="s">
        <v>24</v>
      </c>
      <c r="K129" s="5" t="s">
        <v>24</v>
      </c>
      <c r="L129" s="5" t="s">
        <v>24</v>
      </c>
      <c r="M129" s="7"/>
      <c r="N129" s="7" t="s">
        <v>26</v>
      </c>
      <c r="O129" s="7" t="s">
        <v>27</v>
      </c>
    </row>
    <row r="130" spans="1:15" ht="38.1" customHeight="1">
      <c r="A130" s="7" t="str">
        <f t="shared" ref="A130:A152" si="4">IF(OR(L130="",L130="[]"),"N","Y")</f>
        <v>N</v>
      </c>
      <c r="B130" s="7" t="s">
        <v>579</v>
      </c>
      <c r="C130" s="7" t="s">
        <v>580</v>
      </c>
      <c r="D130" s="5" t="s">
        <v>581</v>
      </c>
      <c r="E130" s="7" t="s">
        <v>214</v>
      </c>
      <c r="F130" s="7" t="s">
        <v>563</v>
      </c>
      <c r="G130" s="7" t="s">
        <v>34</v>
      </c>
      <c r="H130" s="7" t="s">
        <v>21</v>
      </c>
      <c r="I130" s="5" t="s">
        <v>24</v>
      </c>
      <c r="J130" s="5" t="s">
        <v>24</v>
      </c>
      <c r="K130" s="5" t="s">
        <v>24</v>
      </c>
      <c r="L130" s="5" t="s">
        <v>24</v>
      </c>
      <c r="M130" s="7"/>
      <c r="N130" s="7" t="s">
        <v>26</v>
      </c>
      <c r="O130" s="7" t="s">
        <v>27</v>
      </c>
    </row>
    <row r="131" spans="1:15" ht="38.1" customHeight="1">
      <c r="A131" s="7" t="str">
        <f t="shared" si="4"/>
        <v>N</v>
      </c>
      <c r="B131" s="7" t="s">
        <v>582</v>
      </c>
      <c r="C131" s="7" t="s">
        <v>583</v>
      </c>
      <c r="D131" s="5" t="s">
        <v>584</v>
      </c>
      <c r="E131" s="7" t="s">
        <v>214</v>
      </c>
      <c r="F131" s="7" t="s">
        <v>563</v>
      </c>
      <c r="G131" s="7" t="s">
        <v>20</v>
      </c>
      <c r="H131" s="7" t="s">
        <v>21</v>
      </c>
      <c r="I131" s="5" t="s">
        <v>24</v>
      </c>
      <c r="J131" s="5" t="s">
        <v>24</v>
      </c>
      <c r="K131" s="5" t="s">
        <v>24</v>
      </c>
      <c r="L131" s="5" t="s">
        <v>24</v>
      </c>
      <c r="M131" s="7"/>
      <c r="N131" s="7" t="s">
        <v>26</v>
      </c>
      <c r="O131" s="7" t="s">
        <v>27</v>
      </c>
    </row>
    <row r="132" spans="1:15" ht="38.1" customHeight="1">
      <c r="A132" s="7" t="str">
        <f t="shared" si="4"/>
        <v>N</v>
      </c>
      <c r="B132" s="7" t="s">
        <v>585</v>
      </c>
      <c r="C132" s="7" t="s">
        <v>586</v>
      </c>
      <c r="D132" s="5" t="s">
        <v>587</v>
      </c>
      <c r="E132" s="7" t="s">
        <v>214</v>
      </c>
      <c r="F132" s="7" t="s">
        <v>563</v>
      </c>
      <c r="G132" s="7" t="s">
        <v>85</v>
      </c>
      <c r="H132" s="7" t="s">
        <v>21</v>
      </c>
      <c r="I132" s="5" t="s">
        <v>24</v>
      </c>
      <c r="J132" s="5" t="s">
        <v>24</v>
      </c>
      <c r="K132" s="5" t="s">
        <v>24</v>
      </c>
      <c r="L132" s="5" t="s">
        <v>24</v>
      </c>
      <c r="M132" s="7"/>
      <c r="N132" s="7" t="s">
        <v>26</v>
      </c>
      <c r="O132" s="7" t="s">
        <v>27</v>
      </c>
    </row>
    <row r="133" spans="1:15" ht="38.1" customHeight="1">
      <c r="A133" s="7" t="str">
        <f t="shared" si="4"/>
        <v>N</v>
      </c>
      <c r="B133" s="7" t="s">
        <v>588</v>
      </c>
      <c r="C133" s="7" t="s">
        <v>589</v>
      </c>
      <c r="D133" s="5" t="s">
        <v>590</v>
      </c>
      <c r="E133" s="7" t="s">
        <v>214</v>
      </c>
      <c r="F133" s="7" t="s">
        <v>563</v>
      </c>
      <c r="G133" s="7" t="s">
        <v>20</v>
      </c>
      <c r="H133" s="7" t="s">
        <v>21</v>
      </c>
      <c r="I133" s="5" t="s">
        <v>24</v>
      </c>
      <c r="J133" s="5" t="s">
        <v>24</v>
      </c>
      <c r="K133" s="5" t="s">
        <v>24</v>
      </c>
      <c r="L133" s="5" t="s">
        <v>24</v>
      </c>
      <c r="M133" s="7"/>
      <c r="N133" s="7" t="s">
        <v>26</v>
      </c>
      <c r="O133" s="7" t="s">
        <v>27</v>
      </c>
    </row>
    <row r="134" spans="1:15" ht="38.1" customHeight="1">
      <c r="A134" s="7" t="str">
        <f t="shared" si="4"/>
        <v>N</v>
      </c>
      <c r="B134" s="7" t="s">
        <v>591</v>
      </c>
      <c r="C134" s="7" t="s">
        <v>592</v>
      </c>
      <c r="D134" s="5" t="s">
        <v>593</v>
      </c>
      <c r="E134" s="7" t="s">
        <v>214</v>
      </c>
      <c r="F134" s="7" t="s">
        <v>563</v>
      </c>
      <c r="G134" s="7" t="s">
        <v>20</v>
      </c>
      <c r="H134" s="7" t="s">
        <v>21</v>
      </c>
      <c r="I134" s="5" t="s">
        <v>24</v>
      </c>
      <c r="J134" s="5" t="s">
        <v>24</v>
      </c>
      <c r="K134" s="5" t="s">
        <v>24</v>
      </c>
      <c r="L134" s="5" t="s">
        <v>24</v>
      </c>
      <c r="M134" s="7"/>
      <c r="N134" s="7" t="s">
        <v>26</v>
      </c>
      <c r="O134" s="7" t="s">
        <v>27</v>
      </c>
    </row>
    <row r="135" spans="1:15" ht="38.1" customHeight="1">
      <c r="A135" s="7" t="str">
        <f t="shared" si="4"/>
        <v>N</v>
      </c>
      <c r="B135" s="7" t="s">
        <v>594</v>
      </c>
      <c r="C135" s="7" t="s">
        <v>595</v>
      </c>
      <c r="D135" s="5" t="s">
        <v>596</v>
      </c>
      <c r="E135" s="7" t="s">
        <v>214</v>
      </c>
      <c r="F135" s="7" t="s">
        <v>563</v>
      </c>
      <c r="G135" s="7" t="s">
        <v>20</v>
      </c>
      <c r="H135" s="7" t="s">
        <v>21</v>
      </c>
      <c r="I135" s="5" t="s">
        <v>24</v>
      </c>
      <c r="J135" s="5" t="s">
        <v>24</v>
      </c>
      <c r="K135" s="5" t="s">
        <v>24</v>
      </c>
      <c r="L135" s="5" t="s">
        <v>24</v>
      </c>
      <c r="M135" s="7"/>
      <c r="N135" s="7" t="s">
        <v>26</v>
      </c>
      <c r="O135" s="7" t="s">
        <v>27</v>
      </c>
    </row>
    <row r="136" spans="1:15" ht="38.1" customHeight="1">
      <c r="A136" s="7" t="str">
        <f t="shared" si="4"/>
        <v>N</v>
      </c>
      <c r="B136" s="7" t="s">
        <v>597</v>
      </c>
      <c r="C136" s="7" t="s">
        <v>598</v>
      </c>
      <c r="D136" s="5" t="s">
        <v>599</v>
      </c>
      <c r="E136" s="7" t="s">
        <v>214</v>
      </c>
      <c r="F136" s="7" t="s">
        <v>563</v>
      </c>
      <c r="G136" s="7" t="s">
        <v>20</v>
      </c>
      <c r="H136" s="7" t="s">
        <v>108</v>
      </c>
      <c r="I136" s="5" t="s">
        <v>24</v>
      </c>
      <c r="J136" s="5" t="s">
        <v>24</v>
      </c>
      <c r="K136" s="5" t="s">
        <v>24</v>
      </c>
      <c r="L136" s="5" t="s">
        <v>24</v>
      </c>
      <c r="M136" s="7"/>
      <c r="N136" s="7" t="s">
        <v>26</v>
      </c>
      <c r="O136" s="7" t="s">
        <v>44</v>
      </c>
    </row>
    <row r="137" spans="1:15" ht="38.1" customHeight="1">
      <c r="A137" s="7" t="str">
        <f t="shared" si="4"/>
        <v>N</v>
      </c>
      <c r="B137" s="7" t="s">
        <v>600</v>
      </c>
      <c r="C137" s="7" t="s">
        <v>601</v>
      </c>
      <c r="D137" s="5" t="s">
        <v>602</v>
      </c>
      <c r="E137" s="7" t="s">
        <v>214</v>
      </c>
      <c r="F137" s="7" t="s">
        <v>563</v>
      </c>
      <c r="G137" s="7" t="s">
        <v>20</v>
      </c>
      <c r="H137" s="7" t="s">
        <v>108</v>
      </c>
      <c r="I137" s="5" t="s">
        <v>24</v>
      </c>
      <c r="J137" s="5" t="s">
        <v>24</v>
      </c>
      <c r="K137" s="5" t="s">
        <v>24</v>
      </c>
      <c r="L137" s="5" t="s">
        <v>24</v>
      </c>
      <c r="M137" s="7"/>
      <c r="N137" s="7" t="s">
        <v>26</v>
      </c>
      <c r="O137" s="7" t="s">
        <v>44</v>
      </c>
    </row>
    <row r="138" spans="1:15" ht="38.1" customHeight="1">
      <c r="A138" s="7" t="str">
        <f t="shared" si="4"/>
        <v>N</v>
      </c>
      <c r="B138" s="7" t="s">
        <v>603</v>
      </c>
      <c r="C138" s="7" t="s">
        <v>604</v>
      </c>
      <c r="D138" s="5" t="s">
        <v>605</v>
      </c>
      <c r="E138" s="7" t="s">
        <v>214</v>
      </c>
      <c r="F138" s="7" t="s">
        <v>563</v>
      </c>
      <c r="G138" s="7" t="s">
        <v>20</v>
      </c>
      <c r="H138" s="7" t="s">
        <v>86</v>
      </c>
      <c r="I138" s="5" t="s">
        <v>24</v>
      </c>
      <c r="J138" s="5" t="s">
        <v>24</v>
      </c>
      <c r="K138" s="5" t="s">
        <v>24</v>
      </c>
      <c r="L138" s="5" t="s">
        <v>24</v>
      </c>
      <c r="M138" s="7"/>
      <c r="N138" s="7" t="s">
        <v>26</v>
      </c>
      <c r="O138" s="7" t="s">
        <v>44</v>
      </c>
    </row>
    <row r="139" spans="1:15" ht="38.1" customHeight="1">
      <c r="A139" s="7" t="str">
        <f t="shared" si="4"/>
        <v>N</v>
      </c>
      <c r="B139" s="7" t="s">
        <v>606</v>
      </c>
      <c r="C139" s="7" t="s">
        <v>607</v>
      </c>
      <c r="D139" s="5" t="s">
        <v>608</v>
      </c>
      <c r="E139" s="7" t="s">
        <v>214</v>
      </c>
      <c r="F139" s="7" t="s">
        <v>563</v>
      </c>
      <c r="G139" s="7" t="s">
        <v>20</v>
      </c>
      <c r="H139" s="7" t="s">
        <v>86</v>
      </c>
      <c r="I139" s="5" t="s">
        <v>24</v>
      </c>
      <c r="J139" s="5" t="s">
        <v>24</v>
      </c>
      <c r="K139" s="5" t="s">
        <v>24</v>
      </c>
      <c r="L139" s="5" t="s">
        <v>24</v>
      </c>
      <c r="M139" s="7"/>
      <c r="N139" s="7" t="s">
        <v>26</v>
      </c>
      <c r="O139" s="7" t="s">
        <v>44</v>
      </c>
    </row>
    <row r="140" spans="1:15" ht="38.1" customHeight="1">
      <c r="A140" s="7" t="str">
        <f t="shared" si="4"/>
        <v>N</v>
      </c>
      <c r="B140" s="7" t="s">
        <v>609</v>
      </c>
      <c r="C140" s="7" t="s">
        <v>610</v>
      </c>
      <c r="D140" s="5" t="s">
        <v>611</v>
      </c>
      <c r="E140" s="7" t="s">
        <v>214</v>
      </c>
      <c r="F140" s="7" t="s">
        <v>563</v>
      </c>
      <c r="G140" s="7" t="s">
        <v>20</v>
      </c>
      <c r="H140" s="7" t="s">
        <v>108</v>
      </c>
      <c r="I140" s="5" t="s">
        <v>24</v>
      </c>
      <c r="J140" s="5" t="s">
        <v>24</v>
      </c>
      <c r="K140" s="5" t="s">
        <v>24</v>
      </c>
      <c r="L140" s="5" t="s">
        <v>24</v>
      </c>
      <c r="M140" s="7"/>
      <c r="N140" s="7" t="s">
        <v>26</v>
      </c>
      <c r="O140" s="7" t="s">
        <v>27</v>
      </c>
    </row>
    <row r="141" spans="1:15" ht="38.1" customHeight="1">
      <c r="A141" s="7" t="str">
        <f t="shared" si="4"/>
        <v>N</v>
      </c>
      <c r="B141" s="7" t="s">
        <v>612</v>
      </c>
      <c r="C141" s="7" t="s">
        <v>613</v>
      </c>
      <c r="D141" s="5" t="s">
        <v>614</v>
      </c>
      <c r="E141" s="7" t="s">
        <v>214</v>
      </c>
      <c r="F141" s="7" t="s">
        <v>615</v>
      </c>
      <c r="G141" s="7" t="s">
        <v>164</v>
      </c>
      <c r="H141" s="7" t="s">
        <v>108</v>
      </c>
      <c r="I141" s="5" t="s">
        <v>24</v>
      </c>
      <c r="J141" s="5" t="s">
        <v>24</v>
      </c>
      <c r="K141" s="5" t="s">
        <v>24</v>
      </c>
      <c r="L141" s="5" t="s">
        <v>24</v>
      </c>
      <c r="M141" s="7"/>
      <c r="N141" s="7" t="s">
        <v>26</v>
      </c>
      <c r="O141" s="7" t="s">
        <v>44</v>
      </c>
    </row>
    <row r="142" spans="1:15" ht="38.1" customHeight="1">
      <c r="A142" s="7" t="str">
        <f t="shared" si="4"/>
        <v>N</v>
      </c>
      <c r="B142" s="7" t="s">
        <v>616</v>
      </c>
      <c r="C142" s="7" t="s">
        <v>617</v>
      </c>
      <c r="D142" s="5" t="s">
        <v>618</v>
      </c>
      <c r="E142" s="7" t="s">
        <v>214</v>
      </c>
      <c r="F142" s="7" t="s">
        <v>615</v>
      </c>
      <c r="G142" s="7" t="s">
        <v>164</v>
      </c>
      <c r="H142" s="7" t="s">
        <v>108</v>
      </c>
      <c r="I142" s="5" t="s">
        <v>24</v>
      </c>
      <c r="J142" s="5" t="s">
        <v>24</v>
      </c>
      <c r="K142" s="5" t="s">
        <v>24</v>
      </c>
      <c r="L142" s="5" t="s">
        <v>24</v>
      </c>
      <c r="M142" s="7"/>
      <c r="N142" s="7" t="s">
        <v>26</v>
      </c>
      <c r="O142" s="7" t="s">
        <v>44</v>
      </c>
    </row>
    <row r="143" spans="1:15" ht="38.1" customHeight="1">
      <c r="A143" s="7" t="str">
        <f t="shared" si="4"/>
        <v>N</v>
      </c>
      <c r="B143" s="7" t="s">
        <v>619</v>
      </c>
      <c r="C143" s="7" t="s">
        <v>620</v>
      </c>
      <c r="D143" s="5" t="s">
        <v>621</v>
      </c>
      <c r="E143" s="7" t="s">
        <v>214</v>
      </c>
      <c r="F143" s="7" t="s">
        <v>615</v>
      </c>
      <c r="G143" s="7" t="s">
        <v>164</v>
      </c>
      <c r="H143" s="7" t="s">
        <v>108</v>
      </c>
      <c r="I143" s="5" t="s">
        <v>24</v>
      </c>
      <c r="J143" s="5" t="s">
        <v>24</v>
      </c>
      <c r="K143" s="5" t="s">
        <v>24</v>
      </c>
      <c r="L143" s="5" t="s">
        <v>24</v>
      </c>
      <c r="M143" s="7"/>
      <c r="N143" s="7" t="s">
        <v>26</v>
      </c>
      <c r="O143" s="7" t="s">
        <v>44</v>
      </c>
    </row>
    <row r="144" spans="1:15" ht="38.1" customHeight="1">
      <c r="A144" s="7" t="str">
        <f t="shared" si="4"/>
        <v>N</v>
      </c>
      <c r="B144" s="7" t="s">
        <v>622</v>
      </c>
      <c r="C144" s="7" t="s">
        <v>623</v>
      </c>
      <c r="D144" s="5" t="s">
        <v>624</v>
      </c>
      <c r="E144" s="7" t="s">
        <v>214</v>
      </c>
      <c r="F144" s="7" t="s">
        <v>615</v>
      </c>
      <c r="G144" s="7" t="s">
        <v>164</v>
      </c>
      <c r="H144" s="7" t="s">
        <v>108</v>
      </c>
      <c r="I144" s="5" t="s">
        <v>24</v>
      </c>
      <c r="J144" s="5" t="s">
        <v>24</v>
      </c>
      <c r="K144" s="5" t="s">
        <v>24</v>
      </c>
      <c r="L144" s="5" t="s">
        <v>24</v>
      </c>
      <c r="M144" s="7"/>
      <c r="N144" s="7" t="s">
        <v>26</v>
      </c>
      <c r="O144" s="7" t="s">
        <v>44</v>
      </c>
    </row>
    <row r="145" spans="1:15" ht="38.1" customHeight="1">
      <c r="A145" s="7" t="str">
        <f t="shared" si="4"/>
        <v>N</v>
      </c>
      <c r="B145" s="7" t="s">
        <v>625</v>
      </c>
      <c r="C145" s="7" t="s">
        <v>626</v>
      </c>
      <c r="D145" s="5" t="s">
        <v>627</v>
      </c>
      <c r="E145" s="7" t="s">
        <v>214</v>
      </c>
      <c r="F145" s="7" t="s">
        <v>615</v>
      </c>
      <c r="G145" s="7" t="s">
        <v>164</v>
      </c>
      <c r="H145" s="7" t="s">
        <v>86</v>
      </c>
      <c r="I145" s="5" t="s">
        <v>24</v>
      </c>
      <c r="J145" s="5" t="s">
        <v>24</v>
      </c>
      <c r="K145" s="5" t="s">
        <v>24</v>
      </c>
      <c r="L145" s="5" t="s">
        <v>24</v>
      </c>
      <c r="M145" s="7"/>
      <c r="N145" s="7" t="s">
        <v>26</v>
      </c>
      <c r="O145" s="7" t="s">
        <v>44</v>
      </c>
    </row>
    <row r="146" spans="1:15" ht="38.1" customHeight="1">
      <c r="A146" s="7" t="str">
        <f t="shared" si="4"/>
        <v>N</v>
      </c>
      <c r="B146" s="7" t="s">
        <v>628</v>
      </c>
      <c r="C146" s="7" t="s">
        <v>629</v>
      </c>
      <c r="D146" s="5" t="s">
        <v>630</v>
      </c>
      <c r="E146" s="7" t="s">
        <v>214</v>
      </c>
      <c r="F146" s="7" t="s">
        <v>615</v>
      </c>
      <c r="G146" s="7" t="s">
        <v>164</v>
      </c>
      <c r="H146" s="7" t="s">
        <v>86</v>
      </c>
      <c r="I146" s="5" t="s">
        <v>24</v>
      </c>
      <c r="J146" s="5" t="s">
        <v>24</v>
      </c>
      <c r="K146" s="5" t="s">
        <v>24</v>
      </c>
      <c r="L146" s="5" t="s">
        <v>24</v>
      </c>
      <c r="M146" s="7"/>
      <c r="N146" s="7" t="s">
        <v>26</v>
      </c>
      <c r="O146" s="7" t="s">
        <v>44</v>
      </c>
    </row>
    <row r="147" spans="1:15" ht="38.1" customHeight="1">
      <c r="A147" s="7" t="str">
        <f t="shared" si="4"/>
        <v>N</v>
      </c>
      <c r="B147" s="7" t="s">
        <v>631</v>
      </c>
      <c r="C147" s="7" t="s">
        <v>632</v>
      </c>
      <c r="D147" s="5" t="s">
        <v>633</v>
      </c>
      <c r="E147" s="7" t="s">
        <v>214</v>
      </c>
      <c r="F147" s="7" t="s">
        <v>615</v>
      </c>
      <c r="G147" s="7" t="s">
        <v>164</v>
      </c>
      <c r="H147" s="7" t="s">
        <v>86</v>
      </c>
      <c r="I147" s="5" t="s">
        <v>24</v>
      </c>
      <c r="J147" s="5" t="s">
        <v>24</v>
      </c>
      <c r="K147" s="5" t="s">
        <v>24</v>
      </c>
      <c r="L147" s="5" t="s">
        <v>24</v>
      </c>
      <c r="M147" s="7"/>
      <c r="N147" s="7" t="s">
        <v>26</v>
      </c>
      <c r="O147" s="7" t="s">
        <v>44</v>
      </c>
    </row>
    <row r="148" spans="1:15" ht="38.1" customHeight="1">
      <c r="A148" s="7" t="str">
        <f t="shared" si="4"/>
        <v>N</v>
      </c>
      <c r="B148" s="7" t="s">
        <v>634</v>
      </c>
      <c r="C148" s="7" t="s">
        <v>635</v>
      </c>
      <c r="D148" s="5" t="s">
        <v>636</v>
      </c>
      <c r="E148" s="7" t="s">
        <v>214</v>
      </c>
      <c r="F148" s="7" t="s">
        <v>615</v>
      </c>
      <c r="G148" s="7" t="s">
        <v>164</v>
      </c>
      <c r="H148" s="7" t="s">
        <v>108</v>
      </c>
      <c r="I148" s="5" t="s">
        <v>24</v>
      </c>
      <c r="J148" s="5" t="s">
        <v>24</v>
      </c>
      <c r="K148" s="5" t="s">
        <v>24</v>
      </c>
      <c r="L148" s="5" t="s">
        <v>24</v>
      </c>
      <c r="M148" s="7"/>
      <c r="N148" s="7" t="s">
        <v>26</v>
      </c>
      <c r="O148" s="7" t="s">
        <v>44</v>
      </c>
    </row>
    <row r="149" spans="1:15" ht="38.1" customHeight="1">
      <c r="A149" s="7" t="str">
        <f t="shared" si="4"/>
        <v>N</v>
      </c>
      <c r="B149" s="7" t="s">
        <v>637</v>
      </c>
      <c r="C149" s="7" t="s">
        <v>638</v>
      </c>
      <c r="D149" s="5" t="s">
        <v>639</v>
      </c>
      <c r="E149" s="7" t="s">
        <v>214</v>
      </c>
      <c r="F149" s="7" t="s">
        <v>615</v>
      </c>
      <c r="G149" s="7" t="s">
        <v>164</v>
      </c>
      <c r="H149" s="7" t="s">
        <v>108</v>
      </c>
      <c r="I149" s="5" t="s">
        <v>24</v>
      </c>
      <c r="J149" s="5" t="s">
        <v>24</v>
      </c>
      <c r="K149" s="5" t="s">
        <v>24</v>
      </c>
      <c r="L149" s="5" t="s">
        <v>24</v>
      </c>
      <c r="M149" s="7"/>
      <c r="N149" s="7" t="s">
        <v>26</v>
      </c>
      <c r="O149" s="7" t="s">
        <v>44</v>
      </c>
    </row>
    <row r="150" spans="1:15" ht="38.1" customHeight="1">
      <c r="A150" s="7" t="str">
        <f t="shared" si="4"/>
        <v>N</v>
      </c>
      <c r="B150" s="7" t="s">
        <v>640</v>
      </c>
      <c r="C150" s="7" t="s">
        <v>641</v>
      </c>
      <c r="D150" s="5" t="s">
        <v>642</v>
      </c>
      <c r="E150" s="7" t="s">
        <v>214</v>
      </c>
      <c r="F150" s="7" t="s">
        <v>615</v>
      </c>
      <c r="G150" s="7" t="s">
        <v>164</v>
      </c>
      <c r="H150" s="7" t="s">
        <v>86</v>
      </c>
      <c r="I150" s="5" t="s">
        <v>24</v>
      </c>
      <c r="J150" s="5" t="s">
        <v>24</v>
      </c>
      <c r="K150" s="5" t="s">
        <v>24</v>
      </c>
      <c r="L150" s="5" t="s">
        <v>24</v>
      </c>
      <c r="M150" s="7"/>
      <c r="N150" s="7" t="s">
        <v>26</v>
      </c>
      <c r="O150" s="7" t="s">
        <v>44</v>
      </c>
    </row>
    <row r="151" spans="1:15" ht="38.1" customHeight="1">
      <c r="A151" s="7" t="str">
        <f t="shared" si="4"/>
        <v>N</v>
      </c>
      <c r="B151" s="7" t="s">
        <v>643</v>
      </c>
      <c r="C151" s="7" t="s">
        <v>644</v>
      </c>
      <c r="D151" s="5" t="s">
        <v>645</v>
      </c>
      <c r="E151" s="7" t="s">
        <v>214</v>
      </c>
      <c r="F151" s="7" t="s">
        <v>615</v>
      </c>
      <c r="G151" s="7" t="s">
        <v>164</v>
      </c>
      <c r="H151" s="7" t="s">
        <v>108</v>
      </c>
      <c r="I151" s="5" t="s">
        <v>24</v>
      </c>
      <c r="J151" s="5" t="s">
        <v>24</v>
      </c>
      <c r="K151" s="5" t="s">
        <v>24</v>
      </c>
      <c r="L151" s="5" t="s">
        <v>24</v>
      </c>
      <c r="M151" s="7"/>
      <c r="N151" s="7" t="s">
        <v>26</v>
      </c>
      <c r="O151" s="7" t="s">
        <v>44</v>
      </c>
    </row>
    <row r="152" spans="1:15" ht="38.1" customHeight="1">
      <c r="A152" s="7" t="str">
        <f t="shared" si="4"/>
        <v>N</v>
      </c>
      <c r="B152" s="7" t="s">
        <v>646</v>
      </c>
      <c r="C152" s="7" t="s">
        <v>647</v>
      </c>
      <c r="D152" s="5" t="s">
        <v>648</v>
      </c>
      <c r="E152" s="7" t="s">
        <v>214</v>
      </c>
      <c r="F152" s="7" t="s">
        <v>615</v>
      </c>
      <c r="G152" s="7" t="s">
        <v>164</v>
      </c>
      <c r="H152" s="7" t="s">
        <v>108</v>
      </c>
      <c r="I152" s="5" t="s">
        <v>24</v>
      </c>
      <c r="J152" s="5" t="s">
        <v>24</v>
      </c>
      <c r="K152" s="5" t="s">
        <v>24</v>
      </c>
      <c r="L152" s="5" t="s">
        <v>24</v>
      </c>
      <c r="M152" s="7"/>
      <c r="N152" s="7" t="s">
        <v>26</v>
      </c>
      <c r="O152" s="7" t="s">
        <v>44</v>
      </c>
    </row>
  </sheetData>
  <phoneticPr fontId="7" type="noConversion"/>
  <conditionalFormatting sqref="A2:A152">
    <cfRule type="containsText" dxfId="3" priority="1" operator="containsText" text="Y"/>
    <cfRule type="containsText" dxfId="2" priority="2" operator="containsText" text="N"/>
  </conditionalFormatting>
  <conditionalFormatting sqref="N2:N152">
    <cfRule type="containsText" dxfId="1" priority="4" operator="containsText" text="Y"/>
  </conditionalFormatting>
  <conditionalFormatting sqref="O2:O152">
    <cfRule type="containsText" dxfId="0" priority="3" operator="containsText" text="pending_review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showGridLines="0" workbookViewId="0"/>
  </sheetViews>
  <sheetFormatPr defaultRowHeight="14.25"/>
  <cols>
    <col min="1" max="1" width="27" customWidth="1"/>
    <col min="2" max="2" width="22" customWidth="1"/>
    <col min="3" max="3" width="32" customWidth="1"/>
    <col min="4" max="4" width="42" customWidth="1"/>
    <col min="5" max="5" width="34" customWidth="1"/>
    <col min="6" max="6" width="3" customWidth="1"/>
  </cols>
  <sheetData>
    <row r="1" spans="1:6" ht="42" customHeight="1">
      <c r="A1" s="22" t="s">
        <v>649</v>
      </c>
      <c r="B1" s="22"/>
      <c r="C1" s="22"/>
      <c r="D1" s="22"/>
      <c r="E1" s="22"/>
      <c r="F1" s="22"/>
    </row>
    <row r="2" spans="1:6" ht="30" customHeight="1">
      <c r="A2" s="23" t="s">
        <v>650</v>
      </c>
      <c r="B2" s="23"/>
      <c r="C2" s="23"/>
      <c r="D2" s="23"/>
      <c r="E2" s="23"/>
      <c r="F2" s="23"/>
    </row>
    <row r="4" spans="1:6" ht="26.1" customHeight="1">
      <c r="A4" s="8" t="s">
        <v>651</v>
      </c>
      <c r="B4" s="9" t="s">
        <v>652</v>
      </c>
      <c r="C4" s="9" t="s">
        <v>653</v>
      </c>
      <c r="D4" s="9" t="s">
        <v>654</v>
      </c>
      <c r="E4" s="10" t="s">
        <v>655</v>
      </c>
    </row>
    <row r="5" spans="1:6" ht="33.950000000000003" customHeight="1">
      <c r="A5" s="11" t="s">
        <v>656</v>
      </c>
      <c r="B5" s="6">
        <v>3</v>
      </c>
      <c r="C5" s="19" t="s">
        <v>11</v>
      </c>
      <c r="D5" s="4" t="s">
        <v>657</v>
      </c>
      <c r="E5" s="12" t="s">
        <v>658</v>
      </c>
    </row>
    <row r="6" spans="1:6" ht="33.950000000000003" customHeight="1">
      <c r="A6" s="13" t="s">
        <v>659</v>
      </c>
      <c r="B6" s="7">
        <v>5</v>
      </c>
      <c r="C6" s="20" t="s">
        <v>11</v>
      </c>
      <c r="D6" s="5" t="s">
        <v>660</v>
      </c>
      <c r="E6" s="14" t="s">
        <v>661</v>
      </c>
    </row>
    <row r="7" spans="1:6" ht="33.950000000000003" customHeight="1">
      <c r="A7" s="13" t="s">
        <v>662</v>
      </c>
      <c r="B7" s="7">
        <v>10</v>
      </c>
      <c r="C7" s="20" t="s">
        <v>11</v>
      </c>
      <c r="D7" s="5" t="s">
        <v>663</v>
      </c>
      <c r="E7" s="14" t="s">
        <v>664</v>
      </c>
    </row>
    <row r="8" spans="1:6" ht="33.950000000000003" customHeight="1">
      <c r="A8" s="13" t="s">
        <v>665</v>
      </c>
      <c r="B8" s="7">
        <v>10</v>
      </c>
      <c r="C8" s="20" t="s">
        <v>11</v>
      </c>
      <c r="D8" s="5" t="s">
        <v>666</v>
      </c>
      <c r="E8" s="14" t="s">
        <v>667</v>
      </c>
    </row>
    <row r="9" spans="1:6" ht="33.950000000000003" customHeight="1">
      <c r="A9" s="13" t="s">
        <v>668</v>
      </c>
      <c r="B9" s="7">
        <v>5</v>
      </c>
      <c r="C9" s="20" t="s">
        <v>9</v>
      </c>
      <c r="D9" s="5" t="s">
        <v>669</v>
      </c>
      <c r="E9" s="14" t="s">
        <v>670</v>
      </c>
    </row>
    <row r="10" spans="1:6" ht="33.950000000000003" customHeight="1">
      <c r="A10" s="13" t="s">
        <v>671</v>
      </c>
      <c r="B10" s="7">
        <v>5</v>
      </c>
      <c r="C10" s="20" t="s">
        <v>672</v>
      </c>
      <c r="D10" s="5" t="s">
        <v>673</v>
      </c>
      <c r="E10" s="14" t="s">
        <v>674</v>
      </c>
    </row>
    <row r="11" spans="1:6" ht="33.950000000000003" customHeight="1">
      <c r="A11" s="13" t="s">
        <v>675</v>
      </c>
      <c r="B11" s="7">
        <v>5</v>
      </c>
      <c r="C11" s="20" t="s">
        <v>11</v>
      </c>
      <c r="D11" s="5" t="s">
        <v>676</v>
      </c>
      <c r="E11" s="14" t="s">
        <v>677</v>
      </c>
    </row>
    <row r="12" spans="1:6" ht="33.950000000000003" customHeight="1">
      <c r="A12" s="15" t="s">
        <v>678</v>
      </c>
      <c r="B12" s="18">
        <v>5</v>
      </c>
      <c r="C12" s="21" t="s">
        <v>679</v>
      </c>
      <c r="D12" s="16" t="s">
        <v>680</v>
      </c>
      <c r="E12" s="17" t="s">
        <v>681</v>
      </c>
    </row>
    <row r="15" spans="1:6" ht="26.1" customHeight="1">
      <c r="A15" s="8" t="s">
        <v>682</v>
      </c>
      <c r="B15" s="9" t="s">
        <v>683</v>
      </c>
      <c r="C15" s="9" t="s">
        <v>684</v>
      </c>
      <c r="D15" s="10" t="s">
        <v>685</v>
      </c>
    </row>
    <row r="16" spans="1:6" ht="33.950000000000003" customHeight="1">
      <c r="A16" s="11" t="s">
        <v>0</v>
      </c>
      <c r="B16" s="4" t="s">
        <v>686</v>
      </c>
      <c r="C16" s="4" t="s">
        <v>687</v>
      </c>
      <c r="D16" s="12" t="s">
        <v>688</v>
      </c>
    </row>
    <row r="17" spans="1:4" ht="33.950000000000003" customHeight="1">
      <c r="A17" s="13" t="s">
        <v>1</v>
      </c>
      <c r="B17" s="5" t="s">
        <v>689</v>
      </c>
      <c r="C17" s="5" t="s">
        <v>687</v>
      </c>
      <c r="D17" s="14" t="s">
        <v>690</v>
      </c>
    </row>
    <row r="18" spans="1:4" ht="33.950000000000003" customHeight="1">
      <c r="A18" s="13" t="s">
        <v>2</v>
      </c>
      <c r="B18" s="5" t="s">
        <v>691</v>
      </c>
      <c r="C18" s="5" t="s">
        <v>687</v>
      </c>
      <c r="D18" s="14" t="s">
        <v>692</v>
      </c>
    </row>
    <row r="19" spans="1:4" ht="33.950000000000003" customHeight="1">
      <c r="A19" s="13" t="s">
        <v>3</v>
      </c>
      <c r="B19" s="5" t="s">
        <v>693</v>
      </c>
      <c r="C19" s="5" t="s">
        <v>687</v>
      </c>
      <c r="D19" s="14" t="s">
        <v>694</v>
      </c>
    </row>
    <row r="20" spans="1:4" ht="33.950000000000003" customHeight="1">
      <c r="A20" s="13" t="s">
        <v>4</v>
      </c>
      <c r="B20" s="5" t="s">
        <v>695</v>
      </c>
      <c r="C20" s="5" t="s">
        <v>687</v>
      </c>
      <c r="D20" s="14" t="s">
        <v>696</v>
      </c>
    </row>
    <row r="21" spans="1:4" ht="33.950000000000003" customHeight="1">
      <c r="A21" s="13" t="s">
        <v>5</v>
      </c>
      <c r="B21" s="5" t="s">
        <v>697</v>
      </c>
      <c r="C21" s="5" t="s">
        <v>687</v>
      </c>
      <c r="D21" s="14" t="s">
        <v>698</v>
      </c>
    </row>
    <row r="22" spans="1:4" ht="33.950000000000003" customHeight="1">
      <c r="A22" s="13" t="s">
        <v>6</v>
      </c>
      <c r="B22" s="5" t="s">
        <v>699</v>
      </c>
      <c r="C22" s="5" t="s">
        <v>700</v>
      </c>
      <c r="D22" s="14" t="s">
        <v>701</v>
      </c>
    </row>
    <row r="23" spans="1:4" ht="33.950000000000003" customHeight="1">
      <c r="A23" s="13" t="s">
        <v>7</v>
      </c>
      <c r="B23" s="5" t="s">
        <v>702</v>
      </c>
      <c r="C23" s="5" t="s">
        <v>700</v>
      </c>
      <c r="D23" s="14" t="s">
        <v>703</v>
      </c>
    </row>
    <row r="24" spans="1:4" ht="33.950000000000003" customHeight="1">
      <c r="A24" s="13" t="s">
        <v>8</v>
      </c>
      <c r="B24" s="5" t="s">
        <v>704</v>
      </c>
      <c r="C24" s="5" t="s">
        <v>705</v>
      </c>
      <c r="D24" s="14" t="s">
        <v>706</v>
      </c>
    </row>
    <row r="25" spans="1:4" ht="33.950000000000003" customHeight="1">
      <c r="A25" s="13" t="s">
        <v>9</v>
      </c>
      <c r="B25" s="5" t="s">
        <v>707</v>
      </c>
      <c r="C25" s="5" t="s">
        <v>687</v>
      </c>
      <c r="D25" s="14" t="s">
        <v>708</v>
      </c>
    </row>
    <row r="26" spans="1:4" ht="33.950000000000003" customHeight="1">
      <c r="A26" s="13" t="s">
        <v>10</v>
      </c>
      <c r="B26" s="5" t="s">
        <v>709</v>
      </c>
      <c r="C26" s="5" t="s">
        <v>687</v>
      </c>
      <c r="D26" s="14" t="s">
        <v>710</v>
      </c>
    </row>
    <row r="27" spans="1:4" ht="33.950000000000003" customHeight="1">
      <c r="A27" s="13" t="s">
        <v>11</v>
      </c>
      <c r="B27" s="5" t="s">
        <v>711</v>
      </c>
      <c r="C27" s="5" t="s">
        <v>687</v>
      </c>
      <c r="D27" s="14" t="s">
        <v>712</v>
      </c>
    </row>
    <row r="28" spans="1:4" ht="33.950000000000003" customHeight="1">
      <c r="A28" s="13" t="s">
        <v>12</v>
      </c>
      <c r="B28" s="5" t="s">
        <v>713</v>
      </c>
      <c r="C28" s="5" t="s">
        <v>700</v>
      </c>
      <c r="D28" s="14" t="s">
        <v>714</v>
      </c>
    </row>
    <row r="29" spans="1:4" ht="33.950000000000003" customHeight="1">
      <c r="A29" s="13" t="s">
        <v>13</v>
      </c>
      <c r="B29" s="5" t="s">
        <v>715</v>
      </c>
      <c r="C29" s="5" t="s">
        <v>687</v>
      </c>
      <c r="D29" s="14" t="s">
        <v>716</v>
      </c>
    </row>
    <row r="30" spans="1:4" ht="33.950000000000003" customHeight="1">
      <c r="A30" s="15" t="s">
        <v>14</v>
      </c>
      <c r="B30" s="16" t="s">
        <v>717</v>
      </c>
      <c r="C30" s="16" t="s">
        <v>700</v>
      </c>
      <c r="D30" s="17" t="s">
        <v>718</v>
      </c>
    </row>
    <row r="33" spans="1:4" ht="26.1" customHeight="1">
      <c r="A33" s="8" t="s">
        <v>719</v>
      </c>
      <c r="B33" s="9" t="s">
        <v>720</v>
      </c>
      <c r="C33" s="9" t="s">
        <v>721</v>
      </c>
      <c r="D33" s="10" t="s">
        <v>722</v>
      </c>
    </row>
    <row r="34" spans="1:4" ht="33.950000000000003" customHeight="1">
      <c r="A34" s="11" t="s">
        <v>723</v>
      </c>
      <c r="B34" s="6">
        <v>161</v>
      </c>
      <c r="C34" s="4" t="s">
        <v>724</v>
      </c>
      <c r="D34" s="12" t="s">
        <v>725</v>
      </c>
    </row>
    <row r="35" spans="1:4" ht="33.950000000000003" customHeight="1">
      <c r="A35" s="13" t="s">
        <v>726</v>
      </c>
      <c r="B35" s="7">
        <v>5</v>
      </c>
      <c r="C35" s="5" t="s">
        <v>727</v>
      </c>
      <c r="D35" s="14" t="s">
        <v>728</v>
      </c>
    </row>
    <row r="36" spans="1:4" ht="33.950000000000003" customHeight="1">
      <c r="A36" s="13" t="s">
        <v>729</v>
      </c>
      <c r="B36" s="7">
        <v>5</v>
      </c>
      <c r="C36" s="5" t="s">
        <v>730</v>
      </c>
      <c r="D36" s="14" t="s">
        <v>731</v>
      </c>
    </row>
    <row r="37" spans="1:4" ht="33.950000000000003" customHeight="1">
      <c r="A37" s="13" t="s">
        <v>732</v>
      </c>
      <c r="B37" s="7">
        <f>COUNTA(검색평가용!$B$2:$B$152)</f>
        <v>151</v>
      </c>
      <c r="C37" s="5" t="s">
        <v>733</v>
      </c>
      <c r="D37" s="14" t="s">
        <v>734</v>
      </c>
    </row>
    <row r="38" spans="1:4" ht="33.950000000000003" customHeight="1">
      <c r="A38" s="15" t="s">
        <v>735</v>
      </c>
      <c r="B38" s="18">
        <f>COUNTIF(검색평가용!$A$2:$A$152,"Y")</f>
        <v>113</v>
      </c>
      <c r="C38" s="16" t="s">
        <v>736</v>
      </c>
      <c r="D38" s="17" t="s">
        <v>734</v>
      </c>
    </row>
  </sheetData>
  <mergeCells count="2">
    <mergeCell ref="A1:F1"/>
    <mergeCell ref="A2:F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검색평가용</vt:lpstr>
      <vt:lpstr>지표·칼럼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_user ansys</dc:creator>
  <cp:lastModifiedBy>임도균</cp:lastModifiedBy>
  <dcterms:created xsi:type="dcterms:W3CDTF">2026-07-29T06:56:58Z</dcterms:created>
  <dcterms:modified xsi:type="dcterms:W3CDTF">2026-07-29T06:56:58Z</dcterms:modified>
</cp:coreProperties>
</file>