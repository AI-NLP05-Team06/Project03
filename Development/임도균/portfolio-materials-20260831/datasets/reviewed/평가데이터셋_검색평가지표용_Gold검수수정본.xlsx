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e34e42488342d9" /></Relationships>
</file>

<file path=xl/workbook.xml><?xml version="1.0" encoding="utf-8"?>
<x:workbook xmlns:x="http://schemas.openxmlformats.org/spreadsheetml/2006/main">
  <x:sheets>
    <x:sheet xmlns:r="http://schemas.openxmlformats.org/officeDocument/2006/relationships" name="검색평가용" sheetId="1" r:id="Ra42d547472e94433"/>
    <x:sheet xmlns:r="http://schemas.openxmlformats.org/officeDocument/2006/relationships" name="지표·칼럼 안내" sheetId="2" r:id="Rea672bceb94647f0"/>
    <x:sheet xmlns:r="http://schemas.openxmlformats.org/officeDocument/2006/relationships" name="Gold 검수 요약" sheetId="3" r:id="Re250324923a149c5"/>
  </x:sheets>
</x:workbook>
</file>

<file path=xl/sharedStrings.xml><?xml version="1.0" encoding="utf-8"?>
<x:sst xmlns:x="http://schemas.openxmlformats.org/spreadsheetml/2006/main">
  <x:si>
    <x:t xml:space="preserve">검색평가대상</x:t>
  </x:si>
  <x:si>
    <x:t xml:space="preserve">evaluation_id</x:t>
  </x:si>
  <x:si>
    <x:t xml:space="preserve">질문ID(원본)</x:t>
  </x:si>
  <x:si>
    <x:t xml:space="preserve">예상질문</x:t>
  </x:si>
  <x:si>
    <x:t xml:space="preserve">도메인</x:t>
  </x:si>
  <x:si>
    <x:t xml:space="preserve">gold_business_function</x:t>
  </x:si>
  <x:si>
    <x:t xml:space="preserve">질문 복잡도</x:t>
  </x:si>
  <x:si>
    <x:t xml:space="preserve">중요도</x:t>
  </x:si>
  <x:si>
    <x:t xml:space="preserve">gold_source_urls</x:t>
  </x:si>
  <x:si>
    <x:t xml:space="preserve">gold_primary_chunk_ids</x:t>
  </x:si>
  <x:si>
    <x:t xml:space="preserve">gold_supporting_chunk_ids</x:t>
  </x:si>
  <x:si>
    <x:t xml:space="preserve">gold_chunk_ids</x:t>
  </x:si>
  <x:si>
    <x:t xml:space="preserve">gold_evidence_requirement</x:t>
  </x:si>
  <x:si>
    <x:t xml:space="preserve">multi_chunk_required</x:t>
  </x:si>
  <x:si>
    <x:t xml:space="preserve">gold_review_status</x:t>
  </x:si>
  <x:si>
    <x:t xml:space="preserve">DP-Q001</x:t>
  </x:si>
  <x:si>
    <x:t xml:space="preserve">Q001</x:t>
  </x:si>
  <x:si>
    <x:t xml:space="preserve">예금자 1인당 보호받을 수 있는 한도는 얼마인가요?</x:t>
  </x:si>
  <x:si>
    <x:t xml:space="preserve">deposit_protection</x:t>
  </x:si>
  <x:si>
    <x:t xml:space="preserve">L1_single_fact</x:t>
  </x:si>
  <x:si>
    <x:t xml:space="preserve">상</x:t>
  </x:si>
  <x:si>
    <x:t xml:space="preserve">["DP-001_chunk_000"]</x:t>
  </x:si>
  <x:si>
    <x:t xml:space="preserve">[]</x:t>
  </x:si>
  <x:si>
    <x:t xml:space="preserve">PRIMARY_ONLY</x:t>
  </x:si>
  <x:si>
    <x:t xml:space="preserve">N</x:t>
  </x:si>
  <x:si>
    <x:t xml:space="preserve">auto_approved</x:t>
  </x:si>
  <x:si>
    <x:t xml:space="preserve">DP-Q002</x:t>
  </x:si>
  <x:si>
    <x:t xml:space="preserve">Q002</x:t>
  </x:si>
  <x:si>
    <x:t xml:space="preserve">한도를 초과한 금액은 어떻게 되나요?</x:t>
  </x:si>
  <x:si>
    <x:t xml:space="preserve">DP-Q003</x:t>
  </x:si>
  <x:si>
    <x:t xml:space="preserve">Q003</x:t>
  </x:si>
  <x:si>
    <x:t xml:space="preserve">원금과 이자를 합쳐서 계산하나요, 따로 계산하나요?</x:t>
  </x:si>
  <x:si>
    <x:t xml:space="preserve">L2_multi_fact</x:t>
  </x:si>
  <x:si>
    <x:t xml:space="preserve">DP-Q004</x:t>
  </x:si>
  <x:si>
    <x:t xml:space="preserve">Q004</x:t>
  </x:si>
  <x:si>
    <x:t xml:space="preserve">예금자보호제도가 뭔가요?</x:t>
  </x:si>
  <x:si>
    <x:t xml:space="preserve">["DP-002_chunk_001"]</x:t>
  </x:si>
  <x:si>
    <x:t xml:space="preserve">["DP-002_chunk_002"]</x:t>
  </x:si>
  <x:si>
    <x:t xml:space="preserve">["DP-002_chunk_001","DP-002_chunk_002"]</x:t>
  </x:si>
  <x:si>
    <x:t xml:space="preserve">PRIMARY_PLUS_SUPPORT</x:t>
  </x:si>
  <x:si>
    <x:t xml:space="preserve">Y</x:t>
  </x:si>
  <x:si>
    <x:t xml:space="preserve">pending_review</x:t>
  </x:si>
  <x:si>
    <x:t xml:space="preserve">DP-Q005</x:t>
  </x:si>
  <x:si>
    <x:t xml:space="preserve">Q005</x:t>
  </x:si>
  <x:si>
    <x:t xml:space="preserve">예금보험공사는 어떤 원리로 예금을 대신 지급하나요?</x:t>
  </x:si>
  <x:si>
    <x:t xml:space="preserve">["DP-002_chunk_000"]</x:t>
  </x:si>
  <x:si>
    <x:t xml:space="preserve">["DP-002_chunk_002","DP-002_chunk_000"]</x:t>
  </x:si>
  <x:si>
    <x:t xml:space="preserve">DP-Q006</x:t>
  </x:si>
  <x:si>
    <x:t xml:space="preserve">Q006</x:t>
  </x:si>
  <x:si>
    <x:t xml:space="preserve">보험료는 누가 내나요?</x:t>
  </x:si>
  <x:si>
    <x:t xml:space="preserve">DP-Q007</x:t>
  </x:si>
  <x:si>
    <x:t xml:space="preserve">Q007</x:t>
  </x:si>
  <x:si>
    <x:t xml:space="preserve">어떤 금융회사가 예금보호 대상인가요?</x:t>
  </x:si>
  <x:si>
    <x:t xml:space="preserve">DP-Q008</x:t>
  </x:si>
  <x:si>
    <x:t xml:space="preserve">Q008</x:t>
  </x:si>
  <x:si>
    <x:t xml:space="preserve">상호저축은행도 보호되나요?</x:t>
  </x:si>
  <x:si>
    <x:t xml:space="preserve">DP-Q009</x:t>
  </x:si>
  <x:si>
    <x:t xml:space="preserve">Q009</x:t>
  </x:si>
  <x:si>
    <x:t xml:space="preserve">증권사는 예금보호 대상에 포함되나요?</x:t>
  </x:si>
  <x:si>
    <x:t xml:space="preserve">DP-Q010</x:t>
  </x:si>
  <x:si>
    <x:t xml:space="preserve">Q010</x:t>
  </x:si>
  <x:si>
    <x:t xml:space="preserve">어떤 금융상품이 보호되나요?</x:t>
  </x:si>
  <x:si>
    <x:t xml:space="preserve">DP-Q011</x:t>
  </x:si>
  <x:si>
    <x:t xml:space="preserve">Q011</x:t>
  </x:si>
  <x:si>
    <x:t xml:space="preserve">투자신탁 상품도 보호 대상인가요?</x:t>
  </x:si>
  <x:si>
    <x:t xml:space="preserve">DP-Q012</x:t>
  </x:si>
  <x:si>
    <x:t xml:space="preserve">Q012</x:t>
  </x:si>
  <x:si>
    <x:t xml:space="preserve">보호상품과 비보호상품은 어떻게 구분하나요?</x:t>
  </x:si>
  <x:si>
    <x:t xml:space="preserve">DP-Q013</x:t>
  </x:si>
  <x:si>
    <x:t xml:space="preserve">Q013</x:t>
  </x:si>
  <x:si>
    <x:t xml:space="preserve">계열 저축은행에 나눠 예금하면 보호한도가 각각 적용되나요?</x:t>
  </x:si>
  <x:si>
    <x:t xml:space="preserve">L3_conditional</x:t>
  </x:si>
  <x:si>
    <x:t xml:space="preserve">중</x:t>
  </x:si>
  <x:si>
    <x:t xml:space="preserve">["DP-005_chunk_004"]</x:t>
  </x:si>
  <x:si>
    <x:t xml:space="preserve">DP-Q014</x:t>
  </x:si>
  <x:si>
    <x:t xml:space="preserve">Q014</x:t>
  </x:si>
  <x:si>
    <x:t xml:space="preserve">은행이 영업정지되면 예금은 어떻게 찾나요?</x:t>
  </x:si>
  <x:si>
    <x:t xml:space="preserve">DP-Q015</x:t>
  </x:si>
  <x:si>
    <x:t xml:space="preserve">Q015</x:t>
  </x:si>
  <x:si>
    <x:t xml:space="preserve">영업정지 기간 중에도 예금 인출이 가능한가요?</x:t>
  </x:si>
  <x:si>
    <x:t xml:space="preserve">["DP-005_chunk_009"]</x:t>
  </x:si>
  <x:si>
    <x:t xml:space="preserve">DP-Q016</x:t>
  </x:si>
  <x:si>
    <x:t xml:space="preserve">Q016</x:t>
  </x:si>
  <x:si>
    <x:t xml:space="preserve">2025년에 보호한도가 상향됐다는데 맞나요?</x:t>
  </x:si>
  <x:si>
    <x:t xml:space="preserve">["DP-006_chunk_000"]</x:t>
  </x:si>
  <x:si>
    <x:t xml:space="preserve">DP-Q017</x:t>
  </x:si>
  <x:si>
    <x:t xml:space="preserve">Q017</x:t>
  </x:si>
  <x:si>
    <x:t xml:space="preserve">한도 상향은 언제부터 적용되나요?</x:t>
  </x:si>
  <x:si>
    <x:t xml:space="preserve">DP-Q018</x:t>
  </x:si>
  <x:si>
    <x:t xml:space="preserve">Q018</x:t>
  </x:si>
  <x:si>
    <x:t xml:space="preserve">미국의 예금보호한도는 얼마인가요?</x:t>
  </x:si>
  <x:si>
    <x:t xml:space="preserve">하</x:t>
  </x:si>
  <x:si>
    <x:t xml:space="preserve">["DP-007_chunk_000"]</x:t>
  </x:si>
  <x:si>
    <x:t xml:space="preserve">["DP-007_chunk_001"]</x:t>
  </x:si>
  <x:si>
    <x:t xml:space="preserve">["DP-007_chunk_000","DP-007_chunk_001"]</x:t>
  </x:si>
  <x:si>
    <x:t xml:space="preserve">DP-Q019</x:t>
  </x:si>
  <x:si>
    <x:t xml:space="preserve">Q019</x:t>
  </x:si>
  <x:si>
    <x:t xml:space="preserve">한국과 일본의 예금보호한도를 비교해주세요</x:t>
  </x:si>
  <x:si>
    <x:t xml:space="preserve">DP-Q128</x:t>
  </x:si>
  <x:si>
    <x:t xml:space="preserve">Q128</x:t>
  </x:si>
  <x:si>
    <x:t xml:space="preserve">오늘 너무 힘든데 예금 얼마까지 보호되나요?</x:t>
  </x:si>
  <x:si>
    <x:t xml:space="preserve">BI-Q020</x:t>
  </x:si>
  <x:si>
    <x:t xml:space="preserve">Q020</x:t>
  </x:si>
  <x:si>
    <x:t xml:space="preserve">예금보험금 신청할 때 필요한 서류가 뭔가요?</x:t>
  </x:si>
  <x:si>
    <x:t xml:space="preserve">deposit_insurance_payout</x:t>
  </x:si>
  <x:si>
    <x:t xml:space="preserve">BI-Q021</x:t>
  </x:si>
  <x:si>
    <x:t xml:space="preserve">Q021</x:t>
  </x:si>
  <x:si>
    <x:t xml:space="preserve">미성년자 명의로 신청할 때는 어떤 서류가 필요하나요?</x:t>
  </x:si>
  <x:si>
    <x:t xml:space="preserve">["BI-001_chunk_003"]</x:t>
  </x:si>
  <x:si>
    <x:t xml:space="preserve">BI-Q022</x:t>
  </x:si>
  <x:si>
    <x:t xml:space="preserve">Q022</x:t>
  </x:si>
  <x:si>
    <x:t xml:space="preserve">대리인이 신청하려면 무엇을 준비해야 하나요?</x:t>
  </x:si>
  <x:si>
    <x:t xml:space="preserve">["BI-001_chunk_001"]</x:t>
  </x:si>
  <x:si>
    <x:t xml:space="preserve">BI-Q023</x:t>
  </x:si>
  <x:si>
    <x:t xml:space="preserve">Q023</x:t>
  </x:si>
  <x:si>
    <x:t xml:space="preserve">예금보험금은 어떤 절차로 신청하나요?</x:t>
  </x:si>
  <x:si>
    <x:t xml:space="preserve">["BI-002_chunk_000","BI-002_chunk_001","BI-002_chunk_002"]</x:t>
  </x:si>
  <x:si>
    <x:t xml:space="preserve">ALL</x:t>
  </x:si>
  <x:si>
    <x:t xml:space="preserve">BI-Q024</x:t>
  </x:si>
  <x:si>
    <x:t xml:space="preserve">Q024</x:t>
  </x:si>
  <x:si>
    <x:t xml:space="preserve">BI-Q025</x:t>
  </x:si>
  <x:si>
    <x:t xml:space="preserve">Q025</x:t>
  </x:si>
  <x:si>
    <x:t xml:space="preserve">예금보험금이 뭔가요?</x:t>
  </x:si>
  <x:si>
    <x:t xml:space="preserve">["BI-003_chunk_001"]</x:t>
  </x:si>
  <x:si>
    <x:t xml:space="preserve">BI-Q026</x:t>
  </x:si>
  <x:si>
    <x:t xml:space="preserve">Q026</x:t>
  </x:si>
  <x:si>
    <x:t xml:space="preserve">가지급금과 개산지급금은 어떻게 다른가요?</x:t>
  </x:si>
  <x:si>
    <x:t xml:space="preserve">["BI-003_chunk_002","BI-003_chunk_003"]</x:t>
  </x:si>
  <x:si>
    <x:t xml:space="preserve">BI-Q027</x:t>
  </x:si>
  <x:si>
    <x:t xml:space="preserve">Q027</x:t>
  </x:si>
  <x:si>
    <x:t xml:space="preserve">우리은행이 파산했을 때 예금보험금 지급대상인지 어떻게 확인하나요?</x:t>
  </x:si>
  <x:si>
    <x:t xml:space="preserve">["BI-004_chunk_000"]</x:t>
  </x:si>
  <x:si>
    <x:t xml:space="preserve">["BI-003_chunk_006"]</x:t>
  </x:si>
  <x:si>
    <x:t xml:space="preserve">["BI-004_chunk_000","BI-003_chunk_006"]</x:t>
  </x:si>
  <x:si>
    <x:t xml:space="preserve">BI-Q028</x:t>
  </x:si>
  <x:si>
    <x:t xml:space="preserve">Q028</x:t>
  </x:si>
  <x:si>
    <x:t xml:space="preserve">특정 파산금융회사가 지급대상인지 검색할 수 있나요?</x:t>
  </x:si>
  <x:si>
    <x:t xml:space="preserve">BI-Q029</x:t>
  </x:si>
  <x:si>
    <x:t xml:space="preserve">Q029</x:t>
  </x:si>
  <x:si>
    <x:t xml:space="preserve">은행이 문을 닫았다는데 제 돈 찾으려면 뭐부터 해야 해요?</x:t>
  </x:si>
  <x:si>
    <x:t xml:space="preserve">L4_multi_turn</x:t>
  </x:si>
  <x:si>
    <x:t xml:space="preserve">미지정</x:t>
  </x:si>
  <x:si>
    <x:t xml:space="preserve">BI-Q030</x:t>
  </x:si>
  <x:si>
    <x:t xml:space="preserve">Q030</x:t>
  </x:si>
  <x:si>
    <x:t xml:space="preserve">지급 안내를 받았는데 그냥 기다리면 되는 건가요?</x:t>
  </x:si>
  <x:si>
    <x:t xml:space="preserve">["BI-002_chunk_002"]</x:t>
  </x:si>
  <x:si>
    <x:t xml:space="preserve">["BI-002_chunk_001"]</x:t>
  </x:si>
  <x:si>
    <x:t xml:space="preserve">["BI-002_chunk_002","BI-002_chunk_001"]</x:t>
  </x:si>
  <x:si>
    <x:t xml:space="preserve">BI-Q031</x:t>
  </x:si>
  <x:si>
    <x:t xml:space="preserve">Q031</x:t>
  </x:si>
  <x:si>
    <x:t xml:space="preserve">보험금 신청하려는데 신분증만 가져가면 되나요?</x:t>
  </x:si>
  <x:si>
    <x:t xml:space="preserve">예금보험금</x:t>
  </x:si>
  <x:si>
    <x:t xml:space="preserve">["https://www.kdic.or.kr/sp/dpstrprot/DpsmIbamtAplyPossDcmnt/selectScrn.do"]</x:t>
  </x:si>
  <x:si>
    <x:t xml:space="preserve">BI-Q032</x:t>
  </x:si>
  <x:si>
    <x:t xml:space="preserve">Q032</x:t>
  </x:si>
  <x:si>
    <x:t xml:space="preserve">제가 직접 못 가는데 가족이 대신 받아도 되나요?</x:t>
  </x:si>
  <x:si>
    <x:t xml:space="preserve">["BI-001_chunk_006"]</x:t>
  </x:si>
  <x:si>
    <x:t xml:space="preserve">["BI-001_chunk_001","BI-001_chunk_006"]</x:t>
  </x:si>
  <x:si>
    <x:t xml:space="preserve">BI-Q033</x:t>
  </x:si>
  <x:si>
    <x:t xml:space="preserve">Q033</x:t>
  </x:si>
  <x:si>
    <x:t xml:space="preserve">아이 통장에 있는 돈은 부모가 대신 신청할 수 있나요?</x:t>
  </x:si>
  <x:si>
    <x:t xml:space="preserve">BI-Q034</x:t>
  </x:si>
  <x:si>
    <x:t xml:space="preserve">Q034</x:t>
  </x:si>
  <x:si>
    <x:t xml:space="preserve">돌아가신 가족의 예금보험금은 누가 신청해야 하나요?</x:t>
  </x:si>
  <x:si>
    <x:t xml:space="preserve">["BI-001_chunk_004"]</x:t>
  </x:si>
  <x:si>
    <x:t xml:space="preserve">BI-Q035</x:t>
  </x:si>
  <x:si>
    <x:t xml:space="preserve">Q035</x:t>
  </x:si>
  <x:si>
    <x:t xml:space="preserve">지금 해외에 있는데 보험금을 신청할 수 있나요?</x:t>
  </x:si>
  <x:si>
    <x:t xml:space="preserve">["BI-001_chunk_005"]</x:t>
  </x:si>
  <x:si>
    <x:t xml:space="preserve">BI-Q036</x:t>
  </x:si>
  <x:si>
    <x:t xml:space="preserve">Q036</x:t>
  </x:si>
  <x:si>
    <x:t xml:space="preserve">신청은 인터넷으로 하나요, 직접 방문해야 하나요?</x:t>
  </x:si>
  <x:si>
    <x:t xml:space="preserve">BI-Q037</x:t>
  </x:si>
  <x:si>
    <x:t xml:space="preserve">Q037</x:t>
  </x:si>
  <x:si>
    <x:t xml:space="preserve">돈을 먼저 일부 받을 수 있다는데 그게 무슨 돈이에요?</x:t>
  </x:si>
  <x:si>
    <x:t xml:space="preserve">["BI-003_chunk_002"]</x:t>
  </x:si>
  <x:si>
    <x:t xml:space="preserve">BI-Q038</x:t>
  </x:si>
  <x:si>
    <x:t xml:space="preserve">Q038</x:t>
  </x:si>
  <x:si>
    <x:t xml:space="preserve">문자로 지급 안내가 왔는데 어디에서 확인하고 신청해요?</x:t>
  </x:si>
  <x:si>
    <x:t xml:space="preserve">["BI-002_chunk_001","BI-002_chunk_002"]</x:t>
  </x:si>
  <x:si>
    <x:t xml:space="preserve">UN-Q029</x:t>
  </x:si>
  <x:si>
    <x:t xml:space="preserve">미수령금이 뭔가요?</x:t>
  </x:si>
  <x:si>
    <x:t xml:space="preserve">unclaimed_funds</x:t>
  </x:si>
  <x:si>
    <x:t xml:space="preserve">["UN-001_chunk_001"]</x:t>
  </x:si>
  <x:si>
    <x:t xml:space="preserve">UN-Q030</x:t>
  </x:si>
  <x:si>
    <x:t xml:space="preserve">미수령금은 인터넷으로 신청할 수 있나요?</x:t>
  </x:si>
  <x:si>
    <x:t xml:space="preserve">["UN-003_chunk_006"]</x:t>
  </x:si>
  <x:si>
    <x:t xml:space="preserve">UN-Q031</x:t>
  </x:si>
  <x:si>
    <x:t xml:space="preserve">방문 신청은 어디서 하나요?</x:t>
  </x:si>
  <x:si>
    <x:t xml:space="preserve">["UN-003_chunk_007"]</x:t>
  </x:si>
  <x:si>
    <x:t xml:space="preserve">UN-Q032</x:t>
  </x:si>
  <x:si>
    <x:t xml:space="preserve">명의가 변경된 경우 미수령금은 어떻게 문의하나요?</x:t>
  </x:si>
  <x:si>
    <x:t xml:space="preserve">["UN-002_chunk_000"]</x:t>
  </x:si>
  <x:si>
    <x:t xml:space="preserve">UN-Q033</x:t>
  </x:si>
  <x:si>
    <x:t xml:space="preserve">미수령금 관련 전화상담은 어디로 하나요?</x:t>
  </x:si>
  <x:si>
    <x:t xml:space="preserve">UN-Q034</x:t>
  </x:si>
  <x:si>
    <x:t xml:space="preserve">미수령금에는 어떤 종류가 있나요?</x:t>
  </x:si>
  <x:si>
    <x:t xml:space="preserve">["UN-003_chunk_001","UN-003_chunk_002","UN-003_chunk_003","UN-003_chunk_004","UN-003_chunk_005"]</x:t>
  </x:si>
  <x:si>
    <x:t xml:space="preserve">UN-Q035</x:t>
  </x:si>
  <x:si>
    <x:t xml:space="preserve">온라인과 오프라인 신청 방법의 차이가 뭔가요?</x:t>
  </x:si>
  <x:si>
    <x:t xml:space="preserve">["UN-003_chunk_006","UN-003_chunk_007"]</x:t>
  </x:si>
  <x:si>
    <x:t xml:space="preserve">UN-Q036</x:t>
  </x:si>
  <x:si>
    <x:t xml:space="preserve">돌아가신 부모님 명의의 미수령금을 자녀가 조회할 수 있나요?</x:t>
  </x:si>
  <x:si>
    <x:t xml:space="preserve">["UN-004_chunk_000"]</x:t>
  </x:si>
  <x:si>
    <x:t xml:space="preserve">["UN-004_chunk_002"]</x:t>
  </x:si>
  <x:si>
    <x:t xml:space="preserve">["UN-004_chunk_000","UN-004_chunk_002"]</x:t>
  </x:si>
  <x:si>
    <x:t xml:space="preserve">UN-Q037</x:t>
  </x:si>
  <x:si>
    <x:t xml:space="preserve">상속인 금융거래 조회는 어떻게 신청하나요?</x:t>
  </x:si>
  <x:si>
    <x:t xml:space="preserve">["UN-004_chunk_001"]</x:t>
  </x:si>
  <x:si>
    <x:t xml:space="preserve">["UN-004_chunk_001","UN-004_chunk_000","UN-004_chunk_002"]</x:t>
  </x:si>
  <x:si>
    <x:t xml:space="preserve">UN-Q129</x:t>
  </x:si>
  <x:si>
    <x:t xml:space="preserve">Q129</x:t>
  </x:si>
  <x:si>
    <x:t xml:space="preserve">미수령금의 종류는 뭐뭐 있어?</x:t>
  </x:si>
  <x:si>
    <x:t xml:space="preserve">UN-Q130</x:t>
  </x:si>
  <x:si>
    <x:t xml:space="preserve">Q130</x:t>
  </x:si>
  <x:si>
    <x:t xml:space="preserve">돈을 받을 수 있는 은행이 어떤 게 있어?</x:t>
  </x:si>
  <x:si>
    <x:t xml:space="preserve">미선택</x:t>
  </x:si>
  <x:si>
    <x:t xml:space="preserve">["https://fins.kdic.or.kr/ua/aplygudn/NramtItgrAplyItrdMthdGudn/selectScrn.do"]</x:t>
  </x:si>
  <x:si>
    <x:t xml:space="preserve">UN-Q131</x:t>
  </x:si>
  <x:si>
    <x:t xml:space="preserve">Q131</x:t>
  </x:si>
  <x:si>
    <x:t xml:space="preserve">금융회사가 내 돈을 안 주고 있는데 받을 수 있는 방법이 있어?</x:t>
  </x:si>
  <x:si>
    <x:t xml:space="preserve">UN-Q132</x:t>
  </x:si>
  <x:si>
    <x:t xml:space="preserve">Q132</x:t>
  </x:si>
  <x:si>
    <x:t xml:space="preserve">전화로 문의하고 싶은데 번호 좀 알려줘</x:t>
  </x:si>
  <x:si>
    <x:t xml:space="preserve">["https://fins.kdic.or.kr/ua/aplygudn/DpstrTrgtTelQustGudn/selectScrn.do"]</x:t>
  </x:si>
  <x:si>
    <x:t xml:space="preserve">UN-Q133</x:t>
  </x:si>
  <x:si>
    <x:t xml:space="preserve">Q133</x:t>
  </x:si>
  <x:si>
    <x:t xml:space="preserve">미수령금 지급 시 이자소득세가 원천징수되나요?</x:t>
  </x:si>
  <x:si>
    <x:t xml:space="preserve">UN-Q134</x:t>
  </x:si>
  <x:si>
    <x:t xml:space="preserve">Q134</x:t>
  </x:si>
  <x:si>
    <x:t xml:space="preserve">해외 거주 재외국민도 온라인으로 미수령금을 신청할 수 있나요?</x:t>
  </x:si>
  <x:si>
    <x:t xml:space="preserve">UN-Q135</x:t>
  </x:si>
  <x:si>
    <x:t xml:space="preserve">Q135</x:t>
  </x:si>
  <x:si>
    <x:t xml:space="preserve">법인 명의로 남아있는 미수령금도 조회·신청이 가능한가요?</x:t>
  </x:si>
  <x:si>
    <x:t xml:space="preserve">UN-Q136</x:t>
  </x:si>
  <x:si>
    <x:t xml:space="preserve">Q136</x:t>
  </x:si>
  <x:si>
    <x:t xml:space="preserve">미수령금에 이자가 붙나요? 붙는다면 어느 시점까지 계산되나요?</x:t>
  </x:si>
  <x:si>
    <x:t xml:space="preserve">UN-Q137</x:t>
  </x:si>
  <x:si>
    <x:t xml:space="preserve">Q137</x:t>
  </x:si>
  <x:si>
    <x:t xml:space="preserve">외화예금으로 남아있는 미수령금은 어느 시점 환율로 환산해서 지급하나요?</x:t>
  </x:si>
  <x:si>
    <x:t xml:space="preserve">UN-Q138</x:t>
  </x:si>
  <x:si>
    <x:t xml:space="preserve">Q138</x:t>
  </x:si>
  <x:si>
    <x:t xml:space="preserve">이미 폐업한 저축은행의 미수령금도 예금보험공사가 대신 지급하나요?</x:t>
  </x:si>
  <x:si>
    <x:t xml:space="preserve">UN-Q139</x:t>
  </x:si>
  <x:si>
    <x:t xml:space="preserve">Q139</x:t>
  </x:si>
  <x:si>
    <x:t xml:space="preserve">공동명의 계좌 미수령금은 명의자 중 한 명만 신청해도 지급되나요?</x:t>
  </x:si>
  <x:si>
    <x:t xml:space="preserve">UN-Q140</x:t>
  </x:si>
  <x:si>
    <x:t xml:space="preserve">Q140</x:t>
  </x:si>
  <x:si>
    <x:t xml:space="preserve">여러 은행에 흩어져 있는 미수령금을 한 번에 통합 조회할 수 있어?</x:t>
  </x:si>
  <x:si>
    <x:t xml:space="preserve">UN-Q141</x:t>
  </x:si>
  <x:si>
    <x:t xml:space="preserve">Q141</x:t>
  </x:si>
  <x:si>
    <x:t xml:space="preserve">조회했는데 못 받은 돈 나오면 바로 통장에 들어와? 돈 들어오기까지 얼마나 걸려?</x:t>
  </x:si>
  <x:si>
    <x:t xml:space="preserve">UN-Q142</x:t>
  </x:si>
  <x:si>
    <x:t xml:space="preserve">Q142</x:t>
  </x:si>
  <x:si>
    <x:t xml:space="preserve">부모님이 이런걸 잘 못해서 내가 대신해서 찾을 수 있어?</x:t>
  </x:si>
  <x:si>
    <x:t xml:space="preserve">UN-Q143</x:t>
  </x:si>
  <x:si>
    <x:t xml:space="preserve">Q143</x:t>
  </x:si>
  <x:si>
    <x:t xml:space="preserve">이름 변경한 사람도 조회 가능해?</x:t>
  </x:si>
  <x:si>
    <x:t xml:space="preserve">["https://fins.kdic.or.kr/ua/aplygudn/DpstrTrgtTelQustGudn/selectScrn.do","https://fins.kdic.or.kr/cm/bbs/selectFaqNramtAply.do"]</x:t>
  </x:si>
  <x:si>
    <x:t xml:space="preserve">UN-Q144</x:t>
  </x:si>
  <x:si>
    <x:t xml:space="preserve">Q144</x:t>
  </x:si>
  <x:si>
    <x:t xml:space="preserve">이거 갑자기 돈 준다니까 좀 의심스러운데, 사기 아니죠?</x:t>
  </x:si>
  <x:si>
    <x:t xml:space="preserve">UN-Q145</x:t>
  </x:si>
  <x:si>
    <x:t xml:space="preserve">Q145</x:t>
  </x:si>
  <x:si>
    <x:t xml:space="preserve">돈 안찾아간 거 있는지 어떻게 확인해?</x:t>
  </x:si>
  <x:si>
    <x:t xml:space="preserve">UN-Q146</x:t>
  </x:si>
  <x:si>
    <x:t xml:space="preserve">Q146</x:t>
  </x:si>
  <x:si>
    <x:t xml:space="preserve">회사가 부도나서 돈을 못 받았는데 어떻게 받아?</x:t>
  </x:si>
  <x:si>
    <x:t xml:space="preserve">MT-Q038</x:t>
  </x:si>
  <x:si>
    <x:t xml:space="preserve">착오송금 반환지원 제도가 뭔가요?</x:t>
  </x:si>
  <x:si>
    <x:t xml:space="preserve">mistaken_transfer</x:t>
  </x:si>
  <x:si>
    <x:t xml:space="preserve">["MT-001_chunk_000"]</x:t>
  </x:si>
  <x:si>
    <x:t xml:space="preserve">MT-Q039</x:t>
  </x:si>
  <x:si>
    <x:t xml:space="preserve">Q039</x:t>
  </x:si>
  <x:si>
    <x:t xml:space="preserve">착오송금 반환지원 제도는 왜 운영되나요?</x:t>
  </x:si>
  <x:si>
    <x:t xml:space="preserve">MT-Q040</x:t>
  </x:si>
  <x:si>
    <x:t xml:space="preserve">Q040</x:t>
  </x:si>
  <x:si>
    <x:t xml:space="preserve">착오송금 반환지원은 어떤 절차로 진행되나요?</x:t>
  </x:si>
  <x:si>
    <x:t xml:space="preserve">["MT-002_chunk_000"]</x:t>
  </x:si>
  <x:si>
    <x:t xml:space="preserve">MT-Q041</x:t>
  </x:si>
  <x:si>
    <x:t xml:space="preserve">Q041</x:t>
  </x:si>
  <x:si>
    <x:t xml:space="preserve">신청부터 돈을 돌려받기까지 몇 단계인가요?</x:t>
  </x:si>
  <x:si>
    <x:t xml:space="preserve">MT-Q042</x:t>
  </x:si>
  <x:si>
    <x:t xml:space="preserve">Q042</x:t>
  </x:si>
  <x:si>
    <x:t xml:space="preserve">착오송금 반환지원은 어디서 신청하나요?</x:t>
  </x:si>
  <x:si>
    <x:t xml:space="preserve">["MT-003_chunk_000"]</x:t>
  </x:si>
  <x:si>
    <x:t xml:space="preserve">["MT-011_chunk_000"]</x:t>
  </x:si>
  <x:si>
    <x:t xml:space="preserve">["MT-003_chunk_000","MT-011_chunk_000"]</x:t>
  </x:si>
  <x:si>
    <x:t xml:space="preserve">MT-Q043</x:t>
  </x:si>
  <x:si>
    <x:t xml:space="preserve">Q043</x:t>
  </x:si>
  <x:si>
    <x:t xml:space="preserve">인터넷 신청과 방문 신청 중 뭐가 더 빠른가요?</x:t>
  </x:si>
  <x:si>
    <x:t xml:space="preserve">MT-Q044</x:t>
  </x:si>
  <x:si>
    <x:t xml:space="preserve">Q044</x:t>
  </x:si>
  <x:si>
    <x:t xml:space="preserve">착오송금 얼마부터 반환지원 신청이 가능한가요?</x:t>
  </x:si>
  <x:si>
    <x:t xml:space="preserve">["MT-004_chunk_000"]</x:t>
  </x:si>
  <x:si>
    <x:t xml:space="preserve">MT-Q045</x:t>
  </x:si>
  <x:si>
    <x:t xml:space="preserve">Q045</x:t>
  </x:si>
  <x:si>
    <x:t xml:space="preserve">신청 가능한 기간은 언제까지인가요?</x:t>
  </x:si>
  <x:si>
    <x:t xml:space="preserve">["MT-004_chunk_011"]</x:t>
  </x:si>
  <x:si>
    <x:t xml:space="preserve">MT-Q046</x:t>
  </x:si>
  <x:si>
    <x:t xml:space="preserve">Q046</x:t>
  </x:si>
  <x:si>
    <x:t xml:space="preserve">반환지원을 받을 수 없는 경우는 어떤 경우인가요?</x:t>
  </x:si>
  <x:si>
    <x:t xml:space="preserve">["MT-004_chunk_001"]</x:t>
  </x:si>
  <x:si>
    <x:t xml:space="preserve">MT-Q047</x:t>
  </x:si>
  <x:si>
    <x:t xml:space="preserve">Q047</x:t>
  </x:si>
  <x:si>
    <x:t xml:space="preserve">착오송금 반환지원에 대해 가장 많이 묻는 질문이 뭔가요?</x:t>
  </x:si>
  <x:si>
    <x:t xml:space="preserve">["MT-005_chunk_000","MT-005_chunk_001","MT-005_chunk_002","MT-005_chunk_003","MT-005_chunk_004","MT-005_chunk_005","MT-005_chunk_006","MT-005_chunk_007","MT-005_chunk_008","MT-005_chunk_009"]</x:t>
  </x:si>
  <x:si>
    <x:t xml:space="preserve">MT-Q048</x:t>
  </x:si>
  <x:si>
    <x:t xml:space="preserve">Q048</x:t>
  </x:si>
  <x:si>
    <x:t xml:space="preserve">자주 묻는 착오송금 질문 알려주세요</x:t>
  </x:si>
  <x:si>
    <x:t xml:space="preserve">MT-Q049</x:t>
  </x:si>
  <x:si>
    <x:t xml:space="preserve">Q049</x:t>
  </x:si>
  <x:si>
    <x:t xml:space="preserve">착오송금을 잘못 받은 사람인데, 자진반환 기한이 있나요?</x:t>
  </x:si>
  <x:si>
    <x:t xml:space="preserve">MT-Q050</x:t>
  </x:si>
  <x:si>
    <x:t xml:space="preserve">Q050</x:t>
  </x:si>
  <x:si>
    <x:t xml:space="preserve">반환에 동의하지 않으면 어떻게 되나요?</x:t>
  </x:si>
  <x:si>
    <x:t xml:space="preserve">["MT-006_chunk_000"]</x:t>
  </x:si>
  <x:si>
    <x:t xml:space="preserve">MT-Q051</x:t>
  </x:si>
  <x:si>
    <x:t xml:space="preserve">Q051</x:t>
  </x:si>
  <x:si>
    <x:t xml:space="preserve">이체수수료는 돌려받을 수 있나요?</x:t>
  </x:si>
  <x:si>
    <x:t xml:space="preserve">["MT-007_chunk_000"]</x:t>
  </x:si>
  <x:si>
    <x:t xml:space="preserve">["MT-006_chunk_000","MT-007_chunk_000"]</x:t>
  </x:si>
  <x:si>
    <x:t xml:space="preserve">MT-Q052</x:t>
  </x:si>
  <x:si>
    <x:t xml:space="preserve">Q052</x:t>
  </x:si>
  <x:si>
    <x:t xml:space="preserve">착오송금 수취인이 이의를 제기하려면 무슨 서류가 필요한가요?</x:t>
  </x:si>
  <x:si>
    <x:t xml:space="preserve">MT-Q053</x:t>
  </x:si>
  <x:si>
    <x:t xml:space="preserve">Q053</x:t>
  </x:si>
  <x:si>
    <x:t xml:space="preserve">이체수수료 환급 신청서는 어디서 받나요?</x:t>
  </x:si>
  <x:si>
    <x:t xml:space="preserve">MT-Q054</x:t>
  </x:si>
  <x:si>
    <x:t xml:space="preserve">Q054</x:t>
  </x:si>
  <x:si>
    <x:t xml:space="preserve">법인을 대리해 착오송금 반환지원을 신청할 때 추가로 필요한 서류는 무엇인가요?</x:t>
  </x:si>
  <x:si>
    <x:t xml:space="preserve">["MT-008_chunk_002"]</x:t>
  </x:si>
  <x:si>
    <x:t xml:space="preserve">MT-Q055</x:t>
  </x:si>
  <x:si>
    <x:t xml:space="preserve">Q055</x:t>
  </x:si>
  <x:si>
    <x:t xml:space="preserve">대리인이 신청할 때 구비서류가 다른가요?</x:t>
  </x:si>
  <x:si>
    <x:t xml:space="preserve">["MT-008_chunk_000","MT-008_chunk_001"]</x:t>
  </x:si>
  <x:si>
    <x:t xml:space="preserve">MT-Q056</x:t>
  </x:si>
  <x:si>
    <x:t xml:space="preserve">Q056</x:t>
  </x:si>
  <x:si>
    <x:t xml:space="preserve">착오송금 반환지원 절차를 쉽게 설명해주세요</x:t>
  </x:si>
  <x:si>
    <x:t xml:space="preserve">["MT-009_chunk_000"]</x:t>
  </x:si>
  <x:si>
    <x:t xml:space="preserve">MT-Q057</x:t>
  </x:si>
  <x:si>
    <x:t xml:space="preserve">Q057</x:t>
  </x:si>
  <x:si>
    <x:t xml:space="preserve">신청하면 어떤 순서로 돈을 돌려받게 되나요?</x:t>
  </x:si>
  <x:si>
    <x:t xml:space="preserve">MT-Q058</x:t>
  </x:si>
  <x:si>
    <x:t xml:space="preserve">Q058</x:t>
  </x:si>
  <x:si>
    <x:t xml:space="preserve">착오송금 반환지원의 법적 근거가 뭔가요?</x:t>
  </x:si>
  <x:si>
    <x:t xml:space="preserve">["MT-010_chunk_000","MT-010_chunk_001"]</x:t>
  </x:si>
  <x:si>
    <x:t xml:space="preserve">["MT-010_chunk_002","MT-010_chunk_003"]</x:t>
  </x:si>
  <x:si>
    <x:t xml:space="preserve">["MT-010_chunk_000","MT-010_chunk_001","MT-010_chunk_002","MT-010_chunk_003"]</x:t>
  </x:si>
  <x:si>
    <x:t xml:space="preserve">MT-Q059</x:t>
  </x:si>
  <x:si>
    <x:t xml:space="preserve">Q059</x:t>
  </x:si>
  <x:si>
    <x:t xml:space="preserve">관련 규정을 어디서 볼 수 있나요?</x:t>
  </x:si>
  <x:si>
    <x:t xml:space="preserve">MT-Q060</x:t>
  </x:si>
  <x:si>
    <x:t xml:space="preserve">Q060</x:t>
  </x:si>
  <x:si>
    <x:t xml:space="preserve">저는 잘못 보낸 사람인데 어디서 신청해야 하나요?</x:t>
  </x:si>
  <x:si>
    <x:t xml:space="preserve">MT-Q061</x:t>
  </x:si>
  <x:si>
    <x:t xml:space="preserve">Q061</x:t>
  </x:si>
  <x:si>
    <x:t xml:space="preserve">잘못 받은 사람 입장에서는 어떤 메뉴로 가야 하나요?</x:t>
  </x:si>
  <x:si>
    <x:t xml:space="preserve">MT-Q062</x:t>
  </x:si>
  <x:si>
    <x:t xml:space="preserve">Q062</x:t>
  </x:si>
  <x:si>
    <x:t xml:space="preserve">방문 접수는 어디서 하나요?</x:t>
  </x:si>
  <x:si>
    <x:t xml:space="preserve">["MT-012_chunk_000"]</x:t>
  </x:si>
  <x:si>
    <x:t xml:space="preserve">MT-Q063</x:t>
  </x:si>
  <x:si>
    <x:t xml:space="preserve">Q063</x:t>
  </x:si>
  <x:si>
    <x:t xml:space="preserve">본사 운영시간이 어떻게 되나요?</x:t>
  </x:si>
  <x:si>
    <x:t xml:space="preserve">["MT-012_chunk_001"]</x:t>
  </x:si>
  <x:si>
    <x:t xml:space="preserve">MT-Q064</x:t>
  </x:si>
  <x:si>
    <x:t xml:space="preserve">Q064</x:t>
  </x:si>
  <x:si>
    <x:t xml:space="preserve">얼마까지 착오송금 반환지원을 신청할 수 있나요?</x:t>
  </x:si>
  <x:si>
    <x:t xml:space="preserve">MT-Q065</x:t>
  </x:si>
  <x:si>
    <x:t xml:space="preserve">Q065</x:t>
  </x:si>
  <x:si>
    <x:t xml:space="preserve">신청 대상에서 제외되는 경우는 뭔가요?</x:t>
  </x:si>
  <x:si>
    <x:t xml:space="preserve">["MT-013_chunk_002"]</x:t>
  </x:si>
  <x:si>
    <x:t xml:space="preserve">["MT-013_chunk_000"]</x:t>
  </x:si>
  <x:si>
    <x:t xml:space="preserve">["MT-013_chunk_002","MT-013_chunk_000"]</x:t>
  </x:si>
  <x:si>
    <x:t xml:space="preserve">MT-Q066</x:t>
  </x:si>
  <x:si>
    <x:t xml:space="preserve">Q066</x:t>
  </x:si>
  <x:si>
    <x:t xml:space="preserve">비용은 어느 정도 차감되나요?</x:t>
  </x:si>
  <x:si>
    <x:t xml:space="preserve">MT-Q067</x:t>
  </x:si>
  <x:si>
    <x:t xml:space="preserve">Q067</x:t>
  </x:si>
  <x:si>
    <x:t xml:space="preserve">제가 반환지원 신청대상인지 어떻게 확인하나요?</x:t>
  </x:si>
  <x:si>
    <x:t xml:space="preserve">["MT-013_chunk_000","MT-013_chunk_002"]</x:t>
  </x:si>
  <x:si>
    <x:t xml:space="preserve">["MT-013_chunk_000","MT-013_chunk_002","MT-011_chunk_000"]</x:t>
  </x:si>
  <x:si>
    <x:t xml:space="preserve">MT-Q068</x:t>
  </x:si>
  <x:si>
    <x:t xml:space="preserve">Q068</x:t>
  </x:si>
  <x:si>
    <x:t xml:space="preserve">신청대상 여부를 체크하는 항목이 몇 개인가요?</x:t>
  </x:si>
  <x:si>
    <x:t xml:space="preserve">착오송금 반환지원</x:t>
  </x:si>
  <x:si>
    <x:t xml:space="preserve">["https://fins.kdic.or.kr/ir/msdrpr/selectAplyQlfcIdntyRslt.do"]</x:t>
  </x:si>
  <x:si>
    <x:t xml:space="preserve">MT-Q069</x:t>
  </x:si>
  <x:si>
    <x:t xml:space="preserve">Q069</x:t>
  </x:si>
  <x:si>
    <x:t xml:space="preserve">착오송금 신청 가능한 금액 범위가 어떻게 되나요?</x:t>
  </x:si>
  <x:si>
    <x:t xml:space="preserve">["MT-015_chunk_000"]</x:t>
  </x:si>
  <x:si>
    <x:t xml:space="preserve">MT-Q070</x:t>
  </x:si>
  <x:si>
    <x:t xml:space="preserve">Q070</x:t>
  </x:si>
  <x:si>
    <x:t xml:space="preserve">신청기한이 지나면 어떻게 되나요?</x:t>
  </x:si>
  <x:si>
    <x:t xml:space="preserve">["MT-015_chunk_001"]</x:t>
  </x:si>
  <x:si>
    <x:t xml:space="preserve">MT-Q108</x:t>
  </x:si>
  <x:si>
    <x:t xml:space="preserve">Q108</x:t>
  </x:si>
  <x:si>
    <x:t xml:space="preserve">제가 계좌 잘못 눌러서 다른 사람한테 돈 보냈는데 이거 예금보호 되나요?</x:t>
  </x:si>
  <x:si>
    <x:t xml:space="preserve">MT-Q109</x:t>
  </x:si>
  <x:si>
    <x:t xml:space="preserve">Q109</x:t>
  </x:si>
  <x:si>
    <x:t xml:space="preserve">착오송금이랑 보이스피싱 당한 거랑 같은 절차인가요?</x:t>
  </x:si>
  <x:si>
    <x:t xml:space="preserve">["MT-004_chunk_006"]</x:t>
  </x:si>
  <x:si>
    <x:t xml:space="preserve">MT-Q127</x:t>
  </x:si>
  <x:si>
    <x:t xml:space="preserve">Q127</x:t>
  </x:si>
  <x:si>
    <x:t xml:space="preserve">ㅋㅋ 근데 착오송금 반환 얼마나 걸려요?</x:t>
  </x:si>
  <x:si>
    <x:t xml:space="preserve">["MT-005_chunk_000"]</x:t>
  </x:si>
  <x:si>
    <x:t xml:space="preserve">DA-Q071</x:t>
  </x:si>
  <x:si>
    <x:t xml:space="preserve">Q071</x:t>
  </x:si>
  <x:si>
    <x:t xml:space="preserve">채무조정 신청자격이 어떻게 되나요?</x:t>
  </x:si>
  <x:si>
    <x:t xml:space="preserve">debt_adjustment</x:t>
  </x:si>
  <x:si>
    <x:t xml:space="preserve">["DA-001_chunk_001"]</x:t>
  </x:si>
  <x:si>
    <x:t xml:space="preserve">DA-Q072</x:t>
  </x:si>
  <x:si>
    <x:t xml:space="preserve">Q072</x:t>
  </x:si>
  <x:si>
    <x:t xml:space="preserve">채무조정을 신청할 수 없는 경우는 뭔가요?</x:t>
  </x:si>
  <x:si>
    <x:t xml:space="preserve">["DA-001_chunk_003"]</x:t>
  </x:si>
  <x:si>
    <x:t xml:space="preserve">DA-Q073</x:t>
  </x:si>
  <x:si>
    <x:t xml:space="preserve">Q073</x:t>
  </x:si>
  <x:si>
    <x:t xml:space="preserve">채무조정 신청 시 필요한 서류가 뭔가요?</x:t>
  </x:si>
  <x:si>
    <x:t xml:space="preserve">["DA-001_chunk_002"]</x:t>
  </x:si>
  <x:si>
    <x:t xml:space="preserve">DA-Q074</x:t>
  </x:si>
  <x:si>
    <x:t xml:space="preserve">Q074</x:t>
  </x:si>
  <x:si>
    <x:t xml:space="preserve">제가 파산금융회사에 채무가 있는지 온라인으로 확인할 수 있나요?</x:t>
  </x:si>
  <x:si>
    <x:t xml:space="preserve">["DA-002_chunk_000"]</x:t>
  </x:si>
  <x:si>
    <x:t xml:space="preserve">DA-Q075</x:t>
  </x:si>
  <x:si>
    <x:t xml:space="preserve">Q075</x:t>
  </x:si>
  <x:si>
    <x:t xml:space="preserve">채무조정 상담은 어떻게 신청하나요?</x:t>
  </x:si>
  <x:si>
    <x:t xml:space="preserve">DA-Q076</x:t>
  </x:si>
  <x:si>
    <x:t xml:space="preserve">Q076</x:t>
  </x:si>
  <x:si>
    <x:t xml:space="preserve">채무조정으로 최대 얼마까지 감면받을 수 있나요?</x:t>
  </x:si>
  <x:si>
    <x:t xml:space="preserve">["DA-003_chunk_005"]</x:t>
  </x:si>
  <x:si>
    <x:t xml:space="preserve">DA-Q077</x:t>
  </x:si>
  <x:si>
    <x:t xml:space="preserve">Q077</x:t>
  </x:si>
  <x:si>
    <x:t xml:space="preserve">주채무자와 보증채무자의 감면율이 다른가요?</x:t>
  </x:si>
  <x:si>
    <x:t xml:space="preserve">DA-Q078</x:t>
  </x:si>
  <x:si>
    <x:t xml:space="preserve">Q078</x:t>
  </x:si>
  <x:si>
    <x:t xml:space="preserve">KR&amp;C 채무조정과 신용회복위원회 채무조정은 뭐가 다른가요?</x:t>
  </x:si>
  <x:si>
    <x:t xml:space="preserve">["DA-003_chunk_006"]</x:t>
  </x:si>
  <x:si>
    <x:t xml:space="preserve">DA-Q079</x:t>
  </x:si>
  <x:si>
    <x:t xml:space="preserve">Q079</x:t>
  </x:si>
  <x:si>
    <x:t xml:space="preserve">신용회복위원회를 통한 지원은 어떤 건가요?</x:t>
  </x:si>
  <x:si>
    <x:t xml:space="preserve">["DA-004_chunk_000","DA-004_chunk_005"]</x:t>
  </x:si>
  <x:si>
    <x:t xml:space="preserve">["DA-004_chunk_002","DA-004_chunk_003","DA-004_chunk_004"]</x:t>
  </x:si>
  <x:si>
    <x:t xml:space="preserve">["DA-004_chunk_000","DA-004_chunk_005","DA-004_chunk_002","DA-004_chunk_003","DA-004_chunk_004"]</x:t>
  </x:si>
  <x:si>
    <x:t xml:space="preserve">DA-Q080</x:t>
  </x:si>
  <x:si>
    <x:t xml:space="preserve">Q080</x:t>
  </x:si>
  <x:si>
    <x:t xml:space="preserve">예금보험공사 채무조정과 신용회복지원은 다른 건가요?</x:t>
  </x:si>
  <x:si>
    <x:t xml:space="preserve">["DA-004_chunk_001","DA-001_chunk_000"]</x:t>
  </x:si>
  <x:si>
    <x:t xml:space="preserve">DA-Q081</x:t>
  </x:si>
  <x:si>
    <x:t xml:space="preserve">Q081</x:t>
  </x:si>
  <x:si>
    <x:t xml:space="preserve">개인파산은 어떻게 신청하나요?</x:t>
  </x:si>
  <x:si>
    <x:t xml:space="preserve">["DA-005_chunk_002","DA-005_chunk_003"]</x:t>
  </x:si>
  <x:si>
    <x:t xml:space="preserve">DA-Q082</x:t>
  </x:si>
  <x:si>
    <x:t xml:space="preserve">Q082</x:t>
  </x:si>
  <x:si>
    <x:t xml:space="preserve">파산면책을 받으면 채무가 모두 없어지나요?</x:t>
  </x:si>
  <x:si>
    <x:t xml:space="preserve">DA-Q083</x:t>
  </x:si>
  <x:si>
    <x:t xml:space="preserve">Q083</x:t>
  </x:si>
  <x:si>
    <x:t xml:space="preserve">개인회생 절차는 어떻게 되나요?</x:t>
  </x:si>
  <x:si>
    <x:t xml:space="preserve">["DA-006_chunk_010"]</x:t>
  </x:si>
  <x:si>
    <x:t xml:space="preserve">DA-Q084</x:t>
  </x:si>
  <x:si>
    <x:t xml:space="preserve">Q084</x:t>
  </x:si>
  <x:si>
    <x:t xml:space="preserve">개인회생은 몇 년간 분할상환하나요?</x:t>
  </x:si>
  <x:si>
    <x:t xml:space="preserve">["DA-006_chunk_003"]</x:t>
  </x:si>
  <x:si>
    <x:t xml:space="preserve">DA-Q085</x:t>
  </x:si>
  <x:si>
    <x:t xml:space="preserve">Q085</x:t>
  </x:si>
  <x:si>
    <x:t xml:space="preserve">부채증명원은 어떻게 발급받나요?</x:t>
  </x:si>
  <x:si>
    <x:t xml:space="preserve">["DA-007_chunk_002","DA-007_chunk_004"]</x:t>
  </x:si>
  <x:si>
    <x:t xml:space="preserve">DA-Q086</x:t>
  </x:si>
  <x:si>
    <x:t xml:space="preserve">Q086</x:t>
  </x:si>
  <x:si>
    <x:t xml:space="preserve">금융거래정보신청은 어디서 하나요?</x:t>
  </x:si>
  <x:si>
    <x:t xml:space="preserve">["DA-007_chunk_002"]</x:t>
  </x:si>
  <x:si>
    <x:t xml:space="preserve">DA-Q087</x:t>
  </x:si>
  <x:si>
    <x:t xml:space="preserve">Q087</x:t>
  </x:si>
  <x:si>
    <x:t xml:space="preserve">휴대폰 인증만으로 채무정보를 조회할 수 있나요?</x:t>
  </x:si>
  <x:si>
    <x:t xml:space="preserve">["DA-008_chunk_000"]</x:t>
  </x:si>
  <x:si>
    <x:t xml:space="preserve">HA-Q093</x:t>
  </x:si>
  <x:si>
    <x:t xml:space="preserve">Q093</x:t>
  </x:si>
  <x:si>
    <x:t xml:space="preserve">횡령이나 배임도 은닉재산 신고센터에 신고하나요?</x:t>
  </x:si>
  <x:si>
    <x:t xml:space="preserve">hidden_assets_report</x:t>
  </x:si>
  <x:si>
    <x:t xml:space="preserve">["HP-003_chunk_000"]</x:t>
  </x:si>
  <x:si>
    <x:t xml:space="preserve">["HP-003_chunk_001"]</x:t>
  </x:si>
  <x:si>
    <x:t xml:space="preserve">["HP-003_chunk_000","HP-003_chunk_001"]</x:t>
  </x:si>
  <x:si>
    <x:t xml:space="preserve">HA-Q094</x:t>
  </x:si>
  <x:si>
    <x:t xml:space="preserve">Q094</x:t>
  </x:si>
  <x:si>
    <x:t xml:space="preserve">은닉재산 신고와 불법행위 신고는 어떻게 다른가요?</x:t>
  </x:si>
  <x:si>
    <x:t xml:space="preserve">HA-Q095</x:t>
  </x:si>
  <x:si>
    <x:t xml:space="preserve">Q095</x:t>
  </x:si>
  <x:si>
    <x:t xml:space="preserve">제가 신고한 건의 조사 진행상황을 확인할 수 있나요?</x:t>
  </x:si>
  <x:si>
    <x:t xml:space="preserve">은닉재산 신고</x:t>
  </x:si>
  <x:si>
    <x:t xml:space="preserve">OOS-Q096</x:t>
  </x:si>
  <x:si>
    <x:t xml:space="preserve">Q096</x:t>
  </x:si>
  <x:si>
    <x:t xml:space="preserve">국민연금은 언제부터 받을 수 있나요?</x:t>
  </x:si>
  <x:si>
    <x:t xml:space="preserve">out_of_scope</x:t>
  </x:si>
  <x:si>
    <x:t xml:space="preserve">OOS-Q097</x:t>
  </x:si>
  <x:si>
    <x:t xml:space="preserve">Q097</x:t>
  </x:si>
  <x:si>
    <x:t xml:space="preserve">실업급여는 어떻게 신청하나요?</x:t>
  </x:si>
  <x:si>
    <x:t xml:space="preserve">OOS-Q098</x:t>
  </x:si>
  <x:si>
    <x:t xml:space="preserve">Q098</x:t>
  </x:si>
  <x:si>
    <x:t xml:space="preserve">국세청 세금 환급은 어디서 신청해요?</x:t>
  </x:si>
  <x:si>
    <x:t xml:space="preserve">OOS-Q099</x:t>
  </x:si>
  <x:si>
    <x:t xml:space="preserve">Q099</x:t>
  </x:si>
  <x:si>
    <x:t xml:space="preserve">지금 예금 어디에 넣는 게 제일 이자 높아요?</x:t>
  </x:si>
  <x:si>
    <x:t xml:space="preserve">OOS-Q100</x:t>
  </x:si>
  <x:si>
    <x:t xml:space="preserve">Q100</x:t>
  </x:si>
  <x:si>
    <x:t xml:space="preserve">저축은행 중에 안전한 곳 추천해주세요</x:t>
  </x:si>
  <x:si>
    <x:t xml:space="preserve">OOS-Q101</x:t>
  </x:si>
  <x:si>
    <x:t xml:space="preserve">Q101</x:t>
  </x:si>
  <x:si>
    <x:t xml:space="preserve">어떤 보험상품이 좋나요?</x:t>
  </x:si>
  <x:si>
    <x:t xml:space="preserve">OOS-Q102</x:t>
  </x:si>
  <x:si>
    <x:t xml:space="preserve">Q102</x:t>
  </x:si>
  <x:si>
    <x:t xml:space="preserve">이 계약이 사기인지 아닌지 판단해주세요</x:t>
  </x:si>
  <x:si>
    <x:t xml:space="preserve">OOS-Q103</x:t>
  </x:si>
  <x:si>
    <x:t xml:space="preserve">Q103</x:t>
  </x:si>
  <x:si>
    <x:t xml:space="preserve">저 소송 걸어도 되나요?</x:t>
  </x:si>
  <x:si>
    <x:t xml:space="preserve">OOS-Q104</x:t>
  </x:si>
  <x:si>
    <x:t xml:space="preserve">Q104</x:t>
  </x:si>
  <x:si>
    <x:t xml:space="preserve">변호사 없이 이길 수 있나요?</x:t>
  </x:si>
  <x:si>
    <x:t xml:space="preserve">OOS-Q105</x:t>
  </x:si>
  <x:si>
    <x:t xml:space="preserve">Q105</x:t>
  </x:si>
  <x:si>
    <x:t xml:space="preserve">제 계좌 비밀번호 좀 찾아주세요</x:t>
  </x:si>
  <x:si>
    <x:t xml:space="preserve">OOS-Q106</x:t>
  </x:si>
  <x:si>
    <x:t xml:space="preserve">Q106</x:t>
  </x:si>
  <x:si>
    <x:t xml:space="preserve">제 미수령금이 얼마인지 바로 알려주세요</x:t>
  </x:si>
  <x:si>
    <x:t xml:space="preserve">OOS-Q107</x:t>
  </x:si>
  <x:si>
    <x:t xml:space="preserve">Q107</x:t>
  </x:si>
  <x:si>
    <x:t xml:space="preserve">제 이름으로 등록된 계좌 다 보여주세요</x:t>
  </x:si>
  <x:si>
    <x:t xml:space="preserve">OOS-Q110</x:t>
  </x:si>
  <x:si>
    <x:t xml:space="preserve">Q110</x:t>
  </x:si>
  <x:si>
    <x:t xml:space="preserve">너 어떤 AI 모델이야?</x:t>
  </x:si>
  <x:si>
    <x:t xml:space="preserve">OOS-Q111</x:t>
  </x:si>
  <x:si>
    <x:t xml:space="preserve">Q111</x:t>
  </x:si>
  <x:si>
    <x:t xml:space="preserve">이 챗봇 누가 만들었어?</x:t>
  </x:si>
  <x:si>
    <x:t xml:space="preserve">OOS-Q112</x:t>
  </x:si>
  <x:si>
    <x:t xml:space="preserve">Q112</x:t>
  </x:si>
  <x:si>
    <x:t xml:space="preserve">2020년 예금보호한도는 얼마였나요?</x:t>
  </x:si>
  <x:si>
    <x:t xml:space="preserve">OOS-Q113</x:t>
  </x:si>
  <x:si>
    <x:t xml:space="preserve">Q113</x:t>
  </x:si>
  <x:si>
    <x:t xml:space="preserve">예전 착오송금 제도는 어땠나요?</x:t>
  </x:si>
  <x:si>
    <x:t xml:space="preserve">OOS-Q122</x:t>
  </x:si>
  <x:si>
    <x:t xml:space="preserve">Q122</x:t>
  </x:si>
  <x:si>
    <x:t xml:space="preserve">오늘 날씨 어때?</x:t>
  </x:si>
  <x:si>
    <x:t xml:space="preserve">UNK-Q114</x:t>
  </x:si>
  <x:si>
    <x:t xml:space="preserve">Q114</x:t>
  </x:si>
  <x:si>
    <x:t xml:space="preserve">ㅋㅋㅋ</x:t>
  </x:si>
  <x:si>
    <x:t xml:space="preserve">unknown</x:t>
  </x:si>
  <x:si>
    <x:t xml:space="preserve">UNK-Q115</x:t>
  </x:si>
  <x:si>
    <x:t xml:space="preserve">Q115</x:t>
  </x:si>
  <x:si>
    <x:t xml:space="preserve">하하하</x:t>
  </x:si>
  <x:si>
    <x:t xml:space="preserve">UNK-Q116</x:t>
  </x:si>
  <x:si>
    <x:t xml:space="preserve">Q116</x:t>
  </x:si>
  <x:si>
    <x:t xml:space="preserve">ㅇㅇ</x:t>
  </x:si>
  <x:si>
    <x:t xml:space="preserve">UNK-Q117</x:t>
  </x:si>
  <x:si>
    <x:t xml:space="preserve">Q117</x:t>
  </x:si>
  <x:si>
    <x:t xml:space="preserve">ㅁㄴㅇㄹ</x:t>
  </x:si>
  <x:si>
    <x:t xml:space="preserve">UNK-Q118</x:t>
  </x:si>
  <x:si>
    <x:t xml:space="preserve">Q118</x:t>
  </x:si>
  <x:si>
    <x:t xml:space="preserve">도와줘</x:t>
  </x:si>
  <x:si>
    <x:t xml:space="preserve">UNK-Q119</x:t>
  </x:si>
  <x:si>
    <x:t xml:space="preserve">Q119</x:t>
  </x:si>
  <x:si>
    <x:t xml:space="preserve">뭐해</x:t>
  </x:si>
  <x:si>
    <x:t xml:space="preserve">UNK-Q120</x:t>
  </x:si>
  <x:si>
    <x:t xml:space="preserve">Q120</x:t>
  </x:si>
  <x:si>
    <x:t xml:space="preserve">궁금한 게 있어요</x:t>
  </x:si>
  <x:si>
    <x:t xml:space="preserve">UNK-Q121</x:t>
  </x:si>
  <x:si>
    <x:t xml:space="preserve">Q121</x:t>
  </x:si>
  <x:si>
    <x:t xml:space="preserve">안녕</x:t>
  </x:si>
  <x:si>
    <x:t xml:space="preserve">UNK-Q123</x:t>
  </x:si>
  <x:si>
    <x:t xml:space="preserve">Q123</x:t>
  </x:si>
  <x:si>
    <x:t xml:space="preserve">심심해</x:t>
  </x:si>
  <x:si>
    <x:t xml:space="preserve">UNK-Q124</x:t>
  </x:si>
  <x:si>
    <x:t xml:space="preserve">Q124</x:t>
  </x:si>
  <x:si>
    <x:t xml:space="preserve">(비속어 포함 불만 표현)</x:t>
  </x:si>
  <x:si>
    <x:t xml:space="preserve">UNK-Q125</x:t>
  </x:si>
  <x:si>
    <x:t xml:space="preserve">Q125</x:t>
  </x:si>
  <x:si>
    <x:t xml:space="preserve">같은 질문을 여러 번 연속으로</x:t>
  </x:si>
  <x:si>
    <x:t xml:space="preserve">UNK-Q126</x:t>
  </x:si>
  <x:si>
    <x:t xml:space="preserve">Q126</x:t>
  </x:si>
  <x:si>
    <x:t xml:space="preserve">무작위 문자 나열</x:t>
  </x:si>
  <x:si>
    <x:t xml:space="preserve">검색 품질 평가 데이터셋 안내</x:t>
  </x:si>
  <x:si>
    <x:t xml:space="preserve">검색평가용 시트는 검색 지표 계산에 필요한 질문·도메인·출처·Gold 청크만 정리한 실행용 데이터입니다.</x:t>
  </x:si>
  <x:si>
    <x:t xml:space="preserve">평가지표</x:t>
  </x:si>
  <x:si>
    <x:t xml:space="preserve">K</x:t>
  </x:si>
  <x:si>
    <x:t xml:space="preserve">사용 Gold</x:t>
  </x:si>
  <x:si>
    <x:t xml:space="preserve">계산 기준</x:t>
  </x:si>
  <x:si>
    <x:t xml:space="preserve">적용 메모</x:t>
  </x:si>
  <x:si>
    <x:t xml:space="preserve">Hit@K</x:t>
  </x:si>
  <x:si>
    <x:t xml:space="preserve">Top-3에 Gold 청크가 1개 이상 있으면 1</x:t>
  </x:si>
  <x:si>
    <x:t xml:space="preserve">검색평가대상=Y</x:t>
  </x:si>
  <x:si>
    <x:t xml:space="preserve">Recall@K</x:t>
  </x:si>
  <x:si>
    <x:t xml:space="preserve">Top-5에서 찾은 Gold 수 ÷ 전체 Gold 수</x:t>
  </x:si>
  <x:si>
    <x:t xml:space="preserve">다중 근거 회수율 확인</x:t>
  </x:si>
  <x:si>
    <x:t xml:space="preserve">MRR@K</x:t>
  </x:si>
  <x:si>
    <x:t xml:space="preserve">첫 번째 Gold 청크 순위의 역수</x:t>
  </x:si>
  <x:si>
    <x:t xml:space="preserve">빠른 최초 적중 평가</x:t>
  </x:si>
  <x:si>
    <x:t xml:space="preserve">MAP@K</x:t>
  </x:si>
  <x:si>
    <x:t xml:space="preserve">Gold 청크가 등장할 때마다 Precision을 평균</x:t>
  </x:si>
  <x:si>
    <x:t xml:space="preserve">여러 Gold의 순위 품질</x:t>
  </x:si>
  <x:si>
    <x:t xml:space="preserve">Complete@K</x:t>
  </x:si>
  <x:si>
    <x:t xml:space="preserve">모든 주요 Gold가 Top-5에 포함되면 1</x:t>
  </x:si>
  <x:si>
    <x:t xml:space="preserve">multi_chunk_required=Y이며 주요 Gold 수≤5</x:t>
  </x:si>
  <x:si>
    <x:t xml:space="preserve">nDCG@K</x:t>
  </x:si>
  <x:si>
    <x:t xml:space="preserve">primary=2 / supporting=1</x:t>
  </x:si>
  <x:si>
    <x:t xml:space="preserve">관련도 등급과 순위를 함께 반영</x:t>
  </x:si>
  <x:si>
    <x:t xml:space="preserve">주요·보조 청크 구분 사용</x:t>
  </x:si>
  <x:si>
    <x:t xml:space="preserve">Precision@K</x:t>
  </x:si>
  <x:si>
    <x:t xml:space="preserve">Top-5 중 Gold 청크 수 ÷ 5</x:t>
  </x:si>
  <x:si>
    <x:t xml:space="preserve">불필요한 청크 혼입 확인</x:t>
  </x:si>
  <x:si>
    <x:t xml:space="preserve">F1@K</x:t>
  </x:si>
  <x:si>
    <x:t xml:space="preserve">Precision@5·Recall@5</x:t>
  </x:si>
  <x:si>
    <x:t xml:space="preserve">2×P×R ÷ (P+R)</x:t>
  </x:si>
  <x:si>
    <x:t xml:space="preserve">P+R=0이면 0</x:t>
  </x:si>
  <x:si>
    <x:t xml:space="preserve">칼럼</x:t>
  </x:si>
  <x:si>
    <x:t xml:space="preserve">용도</x:t>
  </x:si>
  <x:si>
    <x:t xml:space="preserve">필수 여부</x:t>
  </x:si>
  <x:si>
    <x:t xml:space="preserve">정리 기준</x:t>
  </x:si>
  <x:si>
    <x:t xml:space="preserve">Gold 청크 존재 여부로 실행 대상을 구분</x:t>
  </x:si>
  <x:si>
    <x:t xml:space="preserve">필수</x:t>
  </x:si>
  <x:si>
    <x:t xml:space="preserve">gold_chunk_ids가 비어 있으면 N</x:t>
  </x:si>
  <x:si>
    <x:t xml:space="preserve">평가 코드에서 사용하는 고유 ID</x:t>
  </x:si>
  <x:si>
    <x:t xml:space="preserve">도메인 접두어 + 원본 질문ID</x:t>
  </x:si>
  <x:si>
    <x:t xml:space="preserve">기존 Q번호 추적</x:t>
  </x:si>
  <x:si>
    <x:t xml:space="preserve">원본 값 보존</x:t>
  </x:si>
  <x:si>
    <x:t xml:space="preserve">검색기에 입력할 질의</x:t>
  </x:si>
  <x:si>
    <x:t xml:space="preserve">원문 보존</x:t>
  </x:si>
  <x:si>
    <x:t xml:space="preserve">사람이 보는 업무명</x:t>
  </x:si>
  <x:si>
    <x:t xml:space="preserve">원본 한글 라벨</x:t>
  </x:si>
  <x:si>
    <x:t xml:space="preserve">업무 필터 평가 및 그룹 집계</x:t>
  </x:si>
  <x:si>
    <x:t xml:space="preserve">검색 필터와 동일한 코드</x:t>
  </x:si>
  <x:si>
    <x:t xml:space="preserve">난이도별 성능 분해</x:t>
  </x:si>
  <x:si>
    <x:t xml:space="preserve">권장</x:t>
  </x:si>
  <x:si>
    <x:t xml:space="preserve">L1~L4</x:t>
  </x:si>
  <x:si>
    <x:t xml:space="preserve">중요 질문군 성능 분해</x:t>
  </x:si>
  <x:si>
    <x:t xml:space="preserve">상·중·하</x:t>
  </x:si>
  <x:si>
    <x:t xml:space="preserve">정답 출처 확인</x:t>
  </x:si>
  <x:si>
    <x:t xml:space="preserve">요청 포함</x:t>
  </x:si>
  <x:si>
    <x:t xml:space="preserve">JSON 배열로 통일</x:t>
  </x:si>
  <x:si>
    <x:t xml:space="preserve">핵심 정답 청크</x:t>
  </x:si>
  <x:si>
    <x:t xml:space="preserve">Complete@5와 nDCG 등급 2</x:t>
  </x:si>
  <x:si>
    <x:t xml:space="preserve">보조 근거 청크</x:t>
  </x:si>
  <x:si>
    <x:t xml:space="preserve">nDCG 등급 1</x:t>
  </x:si>
  <x:si>
    <x:t xml:space="preserve">전체 정답 청크 집합</x:t>
  </x:si>
  <x:si>
    <x:t xml:space="preserve">primary와 supporting의 합집합</x:t>
  </x:si>
  <x:si>
    <x:t xml:space="preserve">필요 근거 범위</x:t>
  </x:si>
  <x:si>
    <x:t xml:space="preserve">PRIMARY_ONLY / PRIMARY_PLUS_SUPPORT / ALL</x:t>
  </x:si>
  <x:si>
    <x:t xml:space="preserve">다중 청크 완전 회수 대상</x:t>
  </x:si>
  <x:si>
    <x:t xml:space="preserve">Y/N</x:t>
  </x:si>
  <x:si>
    <x:t xml:space="preserve">Gold 검수 상태</x:t>
  </x:si>
  <x:si>
    <x:t xml:space="preserve">최종 평가는 승인 행 우선</x:t>
  </x:si>
  <x:si>
    <x:t xml:space="preserve">정리 항목</x:t>
  </x:si>
  <x:si>
    <x:t xml:space="preserve">수량</x:t>
  </x:si>
  <x:si>
    <x:t xml:space="preserve">설명</x:t>
  </x:si>
  <x:si>
    <x:t xml:space="preserve">처리</x:t>
  </x:si>
  <x:si>
    <x:t xml:space="preserve">원본 유효 질문 행</x:t>
  </x:si>
  <x:si>
    <x:t xml:space="preserve">질문ID와 예상질문이 모두 있는 행</x:t>
  </x:si>
  <x:si>
    <x:t xml:space="preserve">점검</x:t>
  </x:si>
  <x:si>
    <x:t xml:space="preserve">열 어긋남 중복 행</x:t>
  </x:si>
  <x:si>
    <x:t xml:space="preserve">gold_business_function이 {}로 밀린 중복 행</x:t>
  </x:si>
  <x:si>
    <x:t xml:space="preserve">제외</x:t>
  </x:si>
  <x:si>
    <x:t xml:space="preserve">완전 중복 행</x:t>
  </x:si>
  <x:si>
    <x:t xml:space="preserve">질문·도메인·Gold가 동일한 반복 행</x:t>
  </x:si>
  <x:si>
    <x:t xml:space="preserve">1건만 유지</x:t>
  </x:si>
  <x:si>
    <x:t xml:space="preserve">최종 정리 행</x:t>
  </x:si>
  <x:si>
    <x:t xml:space="preserve">검색평가용 시트의 질문 수</x:t>
  </x:si>
  <x:si>
    <x:t xml:space="preserve">자동 계산</x:t>
  </x:si>
  <x:si>
    <x:t xml:space="preserve">검색평가대상 행</x:t>
  </x:si>
  <x:si>
    <x:t xml:space="preserve">Gold 청크가 있는 질문 수</x:t>
  </x:si>
</x:sst>
</file>

<file path=xl/styles.xml><?xml version="1.0" encoding="utf-8"?>
<x:styleSheet xmlns:x="http://schemas.openxmlformats.org/spreadsheetml/2006/main">
  <x:fonts count="15">
    <x:font>
      <x:sz val="11"/>
      <x:name val="Carlito"/>
    </x:font>
    <x:font>
      <x:sz val="10"/>
      <x:color rgb="FF1F2937"/>
      <x:name val="맑은 고딕"/>
    </x:font>
    <x:font>
      <x:b/>
      <x:sz val="10"/>
      <x:color rgb="FFFFFFFF"/>
      <x:name val="맑은 고딕"/>
    </x:font>
    <x:font>
      <x:b/>
      <x:sz val="18"/>
      <x:color rgb="FFFFFFFF"/>
      <x:name val="맑은 고딕"/>
    </x:font>
    <x:font>
      <x:sz val="10"/>
      <x:color rgb="FF1E3A5F"/>
      <x:name val="맑은 고딕"/>
    </x:font>
    <x:font>
      <x:sz val="9"/>
      <x:color rgb="FF1D4ED8"/>
      <x:name val="맑은 고딕"/>
    </x:font>
    <x:font>
      <x:sz val="11"/>
      <x:name val="Carlito"/>
    </x:font>
    <x:font>
      <x:sz val="8"/>
      <x:name val="돋움체"/>
    </x:font>
    <x:font>
      <x:b/>
      <x:sz val="10"/>
      <x:color rgb="FFFFFFFF"/>
      <x:name val="Carlito"/>
    </x:font>
    <x:font>
      <x:sz val="9"/>
      <x:color rgb="FF1F2937"/>
      <x:name val="Carlito"/>
    </x:font>
    <x:font>
      <x:b/>
      <x:sz val="18"/>
      <x:color rgb="FFFFFFFF"/>
      <x:name val="Carlito"/>
    </x:font>
    <x:font>
      <x:b/>
      <x:sz val="11"/>
      <x:color rgb="FF17365D"/>
      <x:name val="Carlito"/>
    </x:font>
    <x:font>
      <x:sz val="10"/>
      <x:color rgb="FF1F2937"/>
      <x:name val="Carlito"/>
    </x:font>
    <x:font>
      <x:b/>
      <x:sz val="11"/>
      <x:color rgb="FFFFFFFF"/>
      <x:name val="Carlito"/>
    </x:font>
    <x:font>
      <x:sz val="10"/>
      <x:name val="Carlito"/>
    </x:font>
  </x:fonts>
  <x:fills count="8">
    <x:fill>
      <x:patternFill patternType="none"/>
    </x:fill>
    <x:fill>
      <x:patternFill patternType="gray125"/>
    </x:fill>
    <x:fill>
      <x:patternFill patternType="solid">
        <x:fgColor rgb="FF123B73"/>
      </x:patternFill>
    </x:fill>
    <x:fill>
      <x:patternFill patternType="solid">
        <x:fgColor rgb="FFEAF2FF"/>
      </x:patternFill>
    </x:fill>
    <x:fill>
      <x:patternFill patternType="solid">
        <x:fgColor rgb="FF1F5B99"/>
      </x:patternFill>
    </x:fill>
    <x:fill>
      <x:patternFill patternType="solid">
        <x:fgColor rgb="FF17365D"/>
      </x:patternFill>
    </x:fill>
    <x:fill>
      <x:patternFill patternType="solid">
        <x:fgColor rgb="FFEEF4FB"/>
      </x:patternFill>
    </x:fill>
    <x:fill>
      <x:patternFill patternType="solid">
        <x:fgColor rgb="FF2F75B5"/>
      </x:patternFill>
    </x:fill>
  </x:fills>
  <x:borders count="31">
    <x:border/>
    <x:border>
      <x:left style="thin">
        <x:color rgb="FF123B73"/>
      </x:left>
      <x:top style="thin">
        <x:color rgb="FF123B73"/>
      </x:top>
      <x:bottom style="thin">
        <x:color rgb="FF123B73"/>
      </x:bottom>
    </x:border>
    <x:border>
      <x:top style="thin">
        <x:color rgb="FF123B73"/>
      </x:top>
      <x:bottom style="thin">
        <x:color rgb="FF123B73"/>
      </x:bottom>
    </x:border>
    <x:border>
      <x:right style="thin">
        <x:color rgb="FF123B73"/>
      </x:right>
      <x:top style="thin">
        <x:color rgb="FF123B73"/>
      </x:top>
      <x:bottom style="thin">
        <x:color rgb="FF123B73"/>
      </x:bottom>
    </x:border>
    <x:border>
      <x:bottom style="thin">
        <x:color rgb="FFE5E7EB"/>
      </x:bottom>
    </x:border>
    <x:border>
      <x:top style="thin">
        <x:color rgb="FFE5E7EB"/>
      </x:top>
      <x:bottom style="thin">
        <x:color rgb="FFE5E7EB"/>
      </x:bottom>
    </x:border>
    <x:border>
      <x:left style="thin">
        <x:color rgb="FFCBD5E1"/>
      </x:left>
      <x:top style="thin">
        <x:color rgb="FFCBD5E1"/>
      </x:top>
      <x:bottom style="thin">
        <x:color rgb="FF1F5B99"/>
      </x:bottom>
    </x:border>
    <x:border>
      <x:top style="thin">
        <x:color rgb="FFCBD5E1"/>
      </x:top>
      <x:bottom style="thin">
        <x:color rgb="FF1F5B99"/>
      </x:bottom>
    </x:border>
    <x:border>
      <x:right style="thin">
        <x:color rgb="FFCBD5E1"/>
      </x:right>
      <x:top style="thin">
        <x:color rgb="FFCBD5E1"/>
      </x:top>
      <x:bottom style="thin">
        <x:color rgb="FF1F5B99"/>
      </x:bottom>
    </x:border>
    <x:border>
      <x:left style="thin">
        <x:color rgb="FFCBD5E1"/>
      </x:left>
      <x:bottom style="thin">
        <x:color rgb="FFE5E7EB"/>
      </x:bottom>
    </x:border>
    <x:border>
      <x:right style="thin">
        <x:color rgb="FFCBD5E1"/>
      </x:right>
      <x:bottom style="thin">
        <x:color rgb="FFE5E7EB"/>
      </x:bottom>
    </x:border>
    <x:border>
      <x:left style="thin">
        <x:color rgb="FFCBD5E1"/>
      </x:left>
      <x:top style="thin">
        <x:color rgb="FFE5E7EB"/>
      </x:top>
      <x:bottom style="thin">
        <x:color rgb="FFE5E7EB"/>
      </x:bottom>
    </x:border>
    <x:border>
      <x:right style="thin">
        <x:color rgb="FFCBD5E1"/>
      </x:right>
      <x:top style="thin">
        <x:color rgb="FFE5E7EB"/>
      </x:top>
      <x:bottom style="thin">
        <x:color rgb="FFE5E7EB"/>
      </x:bottom>
    </x:border>
    <x:border>
      <x:left style="thin">
        <x:color rgb="FFCBD5E1"/>
      </x:left>
      <x:top style="thin">
        <x:color rgb="FFE5E7EB"/>
      </x:top>
      <x:bottom style="thin">
        <x:color rgb="FFCBD5E1"/>
      </x:bottom>
    </x:border>
    <x:border>
      <x:top style="thin">
        <x:color rgb="FFE5E7EB"/>
      </x:top>
      <x:bottom style="thin">
        <x:color rgb="FFCBD5E1"/>
      </x:bottom>
    </x:border>
    <x:border>
      <x:right style="thin">
        <x:color rgb="FFCBD5E1"/>
      </x:right>
      <x:top style="thin">
        <x:color rgb="FFE5E7EB"/>
      </x:top>
      <x:bottom style="thin">
        <x:color rgb="FFCBD5E1"/>
      </x:bottom>
    </x:border>
    <x:border>
      <x:left style="thin">
        <x:color rgb="FFAAB7C4"/>
      </x:left>
      <x:top style="thin">
        <x:color rgb="FFAAB7C4"/>
      </x:top>
      <x:bottom style="thin">
        <x:color rgb="FFAAB7C4"/>
      </x:bottom>
    </x:border>
    <x:border>
      <x:top style="thin">
        <x:color rgb="FFAAB7C4"/>
      </x:top>
      <x:bottom style="thin">
        <x:color rgb="FFAAB7C4"/>
      </x:bottom>
    </x:border>
    <x:border>
      <x:right style="thin">
        <x:color rgb="FFAAB7C4"/>
      </x:right>
      <x:top style="thin">
        <x:color rgb="FFAAB7C4"/>
      </x:top>
      <x:bottom style="thin">
        <x:color rgb="FFAAB7C4"/>
      </x:bottom>
    </x:border>
    <x:border>
      <x:top style="thin">
        <x:color rgb="FFE5E7EB"/>
      </x:top>
    </x:border>
    <x:border>
      <x:left style="thin">
        <x:color rgb="FF9FBAD0"/>
      </x:left>
      <x:top style="thin">
        <x:color rgb="FF9FBAD0"/>
      </x:top>
    </x:border>
    <x:border>
      <x:top style="thin">
        <x:color rgb="FF9FBAD0"/>
      </x:top>
    </x:border>
    <x:border>
      <x:right style="thin">
        <x:color rgb="FF9FBAD0"/>
      </x:right>
      <x:top style="thin">
        <x:color rgb="FF9FBAD0"/>
      </x:top>
    </x:border>
    <x:border>
      <x:left style="thin">
        <x:color rgb="FF9FBAD0"/>
      </x:left>
    </x:border>
    <x:border>
      <x:right style="thin">
        <x:color rgb="FF9FBAD0"/>
      </x:right>
    </x:border>
    <x:border>
      <x:left style="thin">
        <x:color rgb="FF9FBAD0"/>
      </x:left>
      <x:bottom style="thin">
        <x:color rgb="FF9FBAD0"/>
      </x:bottom>
    </x:border>
    <x:border>
      <x:bottom style="thin">
        <x:color rgb="FF9FBAD0"/>
      </x:bottom>
    </x:border>
    <x:border>
      <x:right style="thin">
        <x:color rgb="FF9FBAD0"/>
      </x:right>
      <x:bottom style="thin">
        <x:color rgb="FF9FBAD0"/>
      </x:bottom>
    </x:border>
    <x:border>
      <x:bottom style="thin">
        <x:color rgb="FFD9E2F3"/>
      </x:bottom>
    </x:border>
    <x:border>
      <x:top style="thin">
        <x:color rgb="FFD9E2F3"/>
      </x:top>
      <x:bottom style="thin">
        <x:color rgb="FFD9E2F3"/>
      </x:bottom>
    </x:border>
    <x:border>
      <x:top style="thin">
        <x:color rgb="FFD9E2F3"/>
      </x:top>
    </x:border>
  </x:borders>
  <x:cellStyleXfs count="2">
    <x:xf numFmtId="0" fontId="0" fillId="0" borderId="0"/>
    <x:xf numFmtId="0" fontId="6" fillId="0" borderId="0"/>
  </x:cellStyleXfs>
  <x:cellXfs count="95">
    <x:xf numFmtId="0" fontId="0" fillId="0" borderId="0" xfId="0"/>
    <x:xf numFmtId="0" fontId="2" fillId="2" borderId="1" xfId="1" applyFont="1" applyFill="1" applyBorder="1" applyAlignment="1">
      <x:alignment horizontal="center" vertical="center" wrapText="1"/>
    </x:xf>
    <x:xf numFmtId="0" fontId="2" fillId="2" borderId="2" xfId="1" applyFont="1" applyFill="1" applyBorder="1" applyAlignment="1">
      <x:alignment horizontal="center" vertical="center" wrapText="1"/>
    </x:xf>
    <x:xf numFmtId="0" fontId="2" fillId="2" borderId="3" xfId="1" applyFont="1" applyFill="1" applyBorder="1" applyAlignment="1">
      <x:alignment horizontal="center" vertical="center" wrapText="1"/>
    </x:xf>
    <x:xf numFmtId="0" fontId="1" fillId="0" borderId="4" xfId="1" applyFont="1" applyBorder="1" applyAlignment="1">
      <x:alignment vertical="center" wrapText="1"/>
    </x:xf>
    <x:xf numFmtId="0" fontId="1" fillId="0" borderId="5" xfId="1" applyFont="1" applyBorder="1" applyAlignment="1">
      <x:alignment vertical="center" wrapText="1"/>
    </x:xf>
    <x:xf numFmtId="0" fontId="1" fillId="0" borderId="4" xfId="1" applyFont="1" applyBorder="1" applyAlignment="1">
      <x:alignment horizontal="center" vertical="center" wrapText="1"/>
    </x:xf>
    <x:xf numFmtId="0" fontId="1" fillId="0" borderId="5" xfId="1" applyFont="1" applyBorder="1" applyAlignment="1">
      <x:alignment horizontal="center" vertical="center" wrapText="1"/>
    </x:xf>
    <x:xf numFmtId="0" fontId="2" fillId="4" borderId="6" xfId="1" applyFont="1" applyFill="1" applyBorder="1" applyAlignment="1">
      <x:alignment horizontal="center" vertical="center"/>
    </x:xf>
    <x:xf numFmtId="0" fontId="2" fillId="4" borderId="7" xfId="1" applyFont="1" applyFill="1" applyBorder="1" applyAlignment="1">
      <x:alignment horizontal="center" vertical="center"/>
    </x:xf>
    <x:xf numFmtId="0" fontId="2" fillId="4" borderId="8" xfId="1" applyFont="1" applyFill="1" applyBorder="1" applyAlignment="1">
      <x:alignment horizontal="center" vertical="center"/>
    </x:xf>
    <x:xf numFmtId="0" fontId="1" fillId="0" borderId="9" xfId="1" applyFont="1" applyBorder="1" applyAlignment="1">
      <x:alignment vertical="center" wrapText="1"/>
    </x:xf>
    <x:xf numFmtId="0" fontId="1" fillId="0" borderId="10" xfId="1" applyFont="1" applyBorder="1" applyAlignment="1">
      <x:alignment vertical="center" wrapText="1"/>
    </x:xf>
    <x:xf numFmtId="0" fontId="1" fillId="0" borderId="11" xfId="1" applyFont="1" applyBorder="1" applyAlignment="1">
      <x:alignment vertical="center" wrapText="1"/>
    </x:xf>
    <x:xf numFmtId="0" fontId="1" fillId="0" borderId="12" xfId="1" applyFont="1" applyBorder="1" applyAlignment="1">
      <x:alignment vertical="center" wrapText="1"/>
    </x:xf>
    <x:xf numFmtId="0" fontId="1" fillId="0" borderId="13" xfId="1" applyFont="1" applyBorder="1" applyAlignment="1">
      <x:alignment vertical="center" wrapText="1"/>
    </x:xf>
    <x:xf numFmtId="0" fontId="1" fillId="0" borderId="14" xfId="1" applyFont="1" applyBorder="1" applyAlignment="1">
      <x:alignment vertical="center" wrapText="1"/>
    </x:xf>
    <x:xf numFmtId="0" fontId="1" fillId="0" borderId="15" xfId="1" applyFont="1" applyBorder="1" applyAlignment="1">
      <x:alignment vertical="center" wrapText="1"/>
    </x:xf>
    <x:xf numFmtId="0" fontId="1" fillId="0" borderId="14" xfId="1" applyFont="1" applyBorder="1" applyAlignment="1">
      <x:alignment horizontal="center" vertical="center" wrapText="1"/>
    </x:xf>
    <x:xf numFmtId="0" fontId="5" fillId="0" borderId="4" xfId="1" applyFont="1" applyBorder="1" applyAlignment="1">
      <x:alignment vertical="center" wrapText="1"/>
    </x:xf>
    <x:xf numFmtId="0" fontId="5" fillId="0" borderId="5" xfId="1" applyFont="1" applyBorder="1" applyAlignment="1">
      <x:alignment vertical="center" wrapText="1"/>
    </x:xf>
    <x:xf numFmtId="0" fontId="5" fillId="0" borderId="14" xfId="1" applyFont="1" applyBorder="1" applyAlignment="1">
      <x:alignment vertical="center" wrapText="1"/>
    </x:xf>
    <x:xf numFmtId="0" fontId="3" fillId="2" borderId="0" xfId="1" applyFont="1" applyFill="1" applyAlignment="1">
      <x:alignment horizontal="left" vertical="center"/>
    </x:xf>
    <x:xf numFmtId="0" fontId="4" fillId="3" borderId="0" xfId="1" applyFont="1" applyFill="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8" fillId="5" borderId="0" xfId="0" applyNumberFormat="1" applyFont="1" applyFill="1" applyBorder="1"/>
    <x:xf numFmtId="0" fontId="8" fillId="5" borderId="16" xfId="0" applyNumberFormat="1" applyFont="1" applyFill="1" applyBorder="1"/>
    <x:xf numFmtId="0" fontId="8" fillId="5" borderId="17" xfId="0" applyNumberFormat="1" applyFont="1" applyFill="1" applyBorder="1"/>
    <x:xf numFmtId="0" fontId="8" fillId="5" borderId="18" xfId="0" applyNumberFormat="1" applyFont="1" applyFill="1" applyBorder="1"/>
    <x:xf numFmtId="0" fontId="8" fillId="5" borderId="16" xfId="0" applyNumberFormat="1" applyFont="1" applyFill="1" applyBorder="1" applyAlignment="1">
      <x:alignment wrapText="1"/>
    </x:xf>
    <x:xf numFmtId="0" fontId="8" fillId="5" borderId="17" xfId="0" applyNumberFormat="1" applyFont="1" applyFill="1" applyBorder="1" applyAlignment="1">
      <x:alignment wrapText="1"/>
    </x:xf>
    <x:xf numFmtId="0" fontId="8" fillId="5" borderId="18" xfId="0" applyNumberFormat="1" applyFont="1" applyFill="1" applyBorder="1" applyAlignment="1">
      <x:alignment wrapText="1"/>
    </x:xf>
    <x:xf numFmtId="0" fontId="8" fillId="5" borderId="16" xfId="0" applyNumberFormat="1" applyFont="1" applyFill="1" applyBorder="1" applyAlignment="1">
      <x:alignment horizontal="center" wrapText="1"/>
    </x:xf>
    <x:xf numFmtId="0" fontId="8" fillId="5" borderId="17" xfId="0" applyNumberFormat="1" applyFont="1" applyFill="1" applyBorder="1" applyAlignment="1">
      <x:alignment horizontal="center" wrapText="1"/>
    </x:xf>
    <x:xf numFmtId="0" fontId="8" fillId="5" borderId="18" xfId="0" applyNumberFormat="1" applyFont="1" applyFill="1" applyBorder="1" applyAlignment="1">
      <x:alignment horizontal="center" wrapText="1"/>
    </x:xf>
    <x:xf numFmtId="0" fontId="8" fillId="5" borderId="16" xfId="0" applyNumberFormat="1" applyFont="1" applyFill="1" applyBorder="1" applyAlignment="1">
      <x:alignment horizontal="center" vertical="center" wrapText="1"/>
    </x:xf>
    <x:xf numFmtId="0" fontId="8" fillId="5" borderId="17" xfId="0" applyNumberFormat="1" applyFont="1" applyFill="1" applyBorder="1" applyAlignment="1">
      <x:alignment horizontal="center" vertical="center" wrapText="1"/>
    </x:xf>
    <x:xf numFmtId="0" fontId="8" fillId="5" borderId="18"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x:extLst>
        <x:ext uri="{C7286773-470A-42A8-94C5-96B5CB345126}">
          <xfpb:xfComplement xmlns:xfpb="http://schemas.microsoft.com/office/spreadsheetml/2022/featurepropertybag" i="0"/>
        </x:ext>
      </x:extLst>
    </x:xf>
    <x:xf numFmtId="0" fontId="9" fillId="0" borderId="0" xfId="0" applyNumberFormat="1" applyFont="1" applyFill="1" applyBorder="1" applyAlignment="1">
      <x:alignment wrapText="1"/>
    </x:xf>
    <x:xf numFmtId="0" fontId="9"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9"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9" fillId="0" borderId="4" xfId="0" applyNumberFormat="1" applyFont="1" applyFill="1" applyBorder="1" applyAlignment="1">
      <x:alignment vertical="top" wrapText="1"/>
    </x:xf>
    <x:xf numFmtId="0" fontId="9"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9" fillId="0" borderId="5" xfId="0" applyNumberFormat="1" applyFont="1" applyFill="1" applyBorder="1" applyAlignment="1">
      <x:alignment vertical="top" wrapText="1"/>
    </x:xf>
    <x:xf numFmtId="0" fontId="9" fillId="0"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9" fillId="0" borderId="19" xfId="0" applyNumberFormat="1" applyFont="1" applyFill="1" applyBorder="1" applyAlignment="1">
      <x:alignment vertical="top" wrapText="1"/>
    </x:xf>
    <x:xf numFmtId="0" fontId="10" fillId="5" borderId="0" xfId="0" applyNumberFormat="1" applyFont="1" applyFill="1" applyBorder="1"/>
    <x:xf numFmtId="0" fontId="10" fillId="5" borderId="0" xfId="0" applyNumberFormat="1" applyFont="1" applyFill="1" applyBorder="1" applyAlignment="1">
      <x:alignment horizontal="left"/>
    </x:xf>
    <x:xf numFmtId="0" fontId="10" fillId="5" borderId="0" xfId="0" applyNumberFormat="1" applyFont="1" applyFill="1" applyBorder="1" applyAlignment="1">
      <x:alignment horizontal="left" vertical="center"/>
    </x:xf>
    <x:xf numFmtId="0" fontId="0" fillId="6" borderId="0" xfId="0" applyNumberFormat="1" applyFont="1" applyFill="1" applyBorder="1"/>
    <x:xf numFmtId="0" fontId="11" fillId="6" borderId="0" xfId="0" applyNumberFormat="1" applyFont="1" applyFill="1" applyBorder="1"/>
    <x:xf numFmtId="0" fontId="11" fillId="6" borderId="20" xfId="0" applyNumberFormat="1" applyFont="1" applyFill="1" applyBorder="1"/>
    <x:xf numFmtId="0" fontId="11" fillId="6" borderId="21" xfId="0" applyNumberFormat="1" applyFont="1" applyFill="1" applyBorder="1"/>
    <x:xf numFmtId="0" fontId="11" fillId="6" borderId="22" xfId="0" applyNumberFormat="1" applyFont="1" applyFill="1" applyBorder="1"/>
    <x:xf numFmtId="0" fontId="11" fillId="6" borderId="23" xfId="0" applyNumberFormat="1" applyFont="1" applyFill="1" applyBorder="1"/>
    <x:xf numFmtId="0" fontId="11" fillId="6" borderId="24" xfId="0" applyNumberFormat="1" applyFont="1" applyFill="1" applyBorder="1"/>
    <x:xf numFmtId="0" fontId="11" fillId="6" borderId="25" xfId="0" applyNumberFormat="1" applyFont="1" applyFill="1" applyBorder="1"/>
    <x:xf numFmtId="0" fontId="11" fillId="6" borderId="26" xfId="0" applyNumberFormat="1" applyFont="1" applyFill="1" applyBorder="1"/>
    <x:xf numFmtId="0" fontId="11" fillId="6" borderId="27" xfId="0" applyNumberFormat="1" applyFont="1" applyFill="1" applyBorder="1"/>
    <x:xf numFmtId="0" fontId="11" fillId="6" borderId="20" xfId="0" applyNumberFormat="1" applyFont="1" applyFill="1" applyBorder="1" applyAlignment="1">
      <x:alignment wrapText="1"/>
    </x:xf>
    <x:xf numFmtId="0" fontId="11" fillId="6" borderId="21" xfId="0" applyNumberFormat="1" applyFont="1" applyFill="1" applyBorder="1" applyAlignment="1">
      <x:alignment wrapText="1"/>
    </x:xf>
    <x:xf numFmtId="0" fontId="11" fillId="6" borderId="22" xfId="0" applyNumberFormat="1" applyFont="1" applyFill="1" applyBorder="1" applyAlignment="1">
      <x:alignment wrapText="1"/>
    </x:xf>
    <x:xf numFmtId="0" fontId="11" fillId="6" borderId="23" xfId="0" applyNumberFormat="1" applyFont="1" applyFill="1" applyBorder="1" applyAlignment="1">
      <x:alignment wrapText="1"/>
    </x:xf>
    <x:xf numFmtId="0" fontId="11" fillId="6" borderId="0" xfId="0" applyNumberFormat="1" applyFont="1" applyFill="1" applyBorder="1" applyAlignment="1">
      <x:alignment wrapText="1"/>
    </x:xf>
    <x:xf numFmtId="0" fontId="11" fillId="6" borderId="24" xfId="0" applyNumberFormat="1" applyFont="1" applyFill="1" applyBorder="1" applyAlignment="1">
      <x:alignment wrapText="1"/>
    </x:xf>
    <x:xf numFmtId="0" fontId="11" fillId="6" borderId="25" xfId="0" applyNumberFormat="1" applyFont="1" applyFill="1" applyBorder="1" applyAlignment="1">
      <x:alignment wrapText="1"/>
    </x:xf>
    <x:xf numFmtId="0" fontId="11" fillId="6" borderId="26" xfId="0" applyNumberFormat="1" applyFont="1" applyFill="1" applyBorder="1" applyAlignment="1">
      <x:alignment wrapText="1"/>
    </x:xf>
    <x:xf numFmtId="0" fontId="11" fillId="6" borderId="27" xfId="0" applyNumberFormat="1" applyFont="1" applyFill="1" applyBorder="1" applyAlignment="1">
      <x:alignment wrapText="1"/>
    </x:xf>
    <x:xf numFmtId="0" fontId="11" fillId="6" borderId="20" xfId="0" applyNumberFormat="1" applyFont="1" applyFill="1" applyBorder="1" applyAlignment="1">
      <x:alignment vertical="center" wrapText="1"/>
    </x:xf>
    <x:xf numFmtId="0" fontId="11" fillId="6" borderId="21"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23" xfId="0" applyNumberFormat="1" applyFont="1" applyFill="1" applyBorder="1" applyAlignment="1">
      <x:alignment vertical="center" wrapText="1"/>
    </x:xf>
    <x:xf numFmtId="0" fontId="11" fillId="6" borderId="0" xfId="0" applyNumberFormat="1" applyFont="1" applyFill="1" applyBorder="1" applyAlignment="1">
      <x:alignment vertical="center" wrapText="1"/>
    </x:xf>
    <x:xf numFmtId="0" fontId="11" fillId="6" borderId="24" xfId="0" applyNumberFormat="1" applyFont="1" applyFill="1" applyBorder="1" applyAlignment="1">
      <x:alignment vertical="center" wrapText="1"/>
    </x:xf>
    <x:xf numFmtId="0" fontId="11" fillId="6" borderId="25" xfId="0" applyNumberFormat="1" applyFont="1" applyFill="1" applyBorder="1" applyAlignment="1">
      <x:alignment vertical="center" wrapText="1"/>
    </x:xf>
    <x:xf numFmtId="0" fontId="11" fillId="6" borderId="26" xfId="0" applyNumberFormat="1" applyFont="1" applyFill="1" applyBorder="1" applyAlignment="1">
      <x:alignment vertical="center" wrapText="1"/>
    </x:xf>
    <x:xf numFmtId="0" fontId="11" fillId="6" borderId="27"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horizontal="center"/>
    </x:xf>
    <x:xf numFmtId="0" fontId="8" fillId="7" borderId="0" xfId="0" applyNumberFormat="1" applyFont="1" applyFill="1" applyBorder="1" applyAlignment="1">
      <x:alignment horizontal="center" vertical="center"/>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2" fillId="0" borderId="28" xfId="0" applyNumberFormat="1" applyFont="1" applyFill="1" applyBorder="1" applyAlignment="1">
      <x:alignment vertical="top" wrapText="1"/>
    </x:xf>
    <x:xf numFmtId="0" fontId="12" fillId="0" borderId="29" xfId="0" applyNumberFormat="1" applyFont="1" applyFill="1" applyBorder="1" applyAlignment="1">
      <x:alignment vertical="top" wrapText="1"/>
    </x:xf>
    <x:xf numFmtId="0" fontId="12" fillId="0" borderId="30" xfId="0" applyNumberFormat="1" applyFont="1" applyFill="1" applyBorder="1" applyAlignment="1">
      <x:alignment vertical="top" wrapText="1"/>
    </x:xf>
    <x:xf numFmtId="0" fontId="13" fillId="5" borderId="0" xfId="0" applyNumberFormat="1" applyFont="1" applyFill="1" applyBorder="1"/>
    <x:xf numFmtId="0" fontId="14" fillId="0" borderId="0" xfId="0" applyNumberFormat="1" applyFont="1" applyFill="1" applyBorder="1"/>
    <x:xf numFmtId="0" fontId="14" fillId="0" borderId="0" xfId="0" applyNumberFormat="1" applyFont="1" applyFill="1" applyBorder="1" applyAlignment="1">
      <x:alignment wrapText="1"/>
    </x:xf>
    <x:xf numFmtId="0" fontId="14" fillId="0" borderId="0" xfId="0" applyNumberFormat="1" applyFont="1" applyFill="1" applyBorder="1" applyAlignment="1">
      <x:alignment vertical="top" wrapText="1"/>
    </x:xf>
  </x:cellXfs>
  <x:cellStyles count="2">
    <x:cellStyle name="Normal" xfId="1"/>
    <x:cellStyle name="표준" xfId="0"/>
  </x:cellStyles>
  <x:dxfs count="4">
    <x:dxf>
      <x:font>
        <x:color rgb="FF92400E"/>
      </x:font>
      <x:fill>
        <x:patternFill>
          <x:bgColor rgb="FFFEF3C7"/>
        </x:patternFill>
      </x:fill>
    </x:dxf>
    <x:dxf>
      <x:font>
        <x:b/>
        <x:color rgb="FF1D4ED8"/>
      </x:font>
      <x:fill>
        <x:patternFill>
          <x:bgColor rgb="FFDBEAFE"/>
        </x:patternFill>
      </x:fill>
    </x:dxf>
    <x:dxf>
      <x:font>
        <x:color rgb="FF6B7280"/>
      </x:font>
      <x:fill>
        <x:patternFill>
          <x:bgColor rgb="FFF3F4F6"/>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e3212c032e4f00" /><Relationship Type="http://schemas.openxmlformats.org/officeDocument/2006/relationships/theme" Target="/xl/theme/theme1.xml" Id="R786903a960f64d21" /><Relationship Type="http://schemas.microsoft.com/office/2022/11/relationships/FeaturePropertyBag" Target="/xl/featurePropertyBag/featurePropertyBag.xml" Id="Rd6cd378787904d48" /><Relationship Type="http://schemas.openxmlformats.org/officeDocument/2006/relationships/sharedStrings" Target="/xl/sharedStrings.xml" Id="Rda7a353acbbb40d2" /><Relationship Type="http://schemas.openxmlformats.org/officeDocument/2006/relationships/worksheet" Target="/xl/worksheets/sheet1.xml" Id="Ra42d547472e94433" /><Relationship Type="http://schemas.openxmlformats.org/officeDocument/2006/relationships/worksheet" Target="/xl/worksheets/sheet2.xml" Id="Rea672bceb94647f0" /><Relationship Type="http://schemas.openxmlformats.org/officeDocument/2006/relationships/worksheet" Target="/xl/worksheets/sheet3.xml" Id="Re250324923a149c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trievalEvaluationTable" displayName="RetrievalEvaluationTable" ref="A1:O152" totalsRowShown="0">
  <x:autoFilter ref="A1:O152"/>
  <x:tableColumns count="15">
    <x:tableColumn id="1" name="검색평가대상"/>
    <x:tableColumn id="2" name="evaluation_id"/>
    <x:tableColumn id="3" name="질문ID(원본)"/>
    <x:tableColumn id="4" name="예상질문"/>
    <x:tableColumn id="5" name="도메인"/>
    <x:tableColumn id="6" name="gold_business_function"/>
    <x:tableColumn id="7" name="질문 복잡도"/>
    <x:tableColumn id="8" name="중요도"/>
    <x:tableColumn id="9" name="gold_source_urls"/>
    <x:tableColumn id="10" name="gold_primary_chunk_ids"/>
    <x:tableColumn id="11" name="gold_supporting_chunk_ids"/>
    <x:tableColumn id="12" name="gold_chunk_ids"/>
    <x:tableColumn id="13" name="gold_evidence_requirement"/>
    <x:tableColumn id="14" name="multi_chunk_required"/>
    <x:tableColumn id="15" name="gold_review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29edaf101d4cd7" /></Relationships>
</file>

<file path=xl/worksheets/sheet1.xml><?xml version="1.0" encoding="utf-8"?>
<x:worksheet xmlns:x="http://schemas.openxmlformats.org/spreadsheetml/2006/main">
  <x:sheetViews>
    <x:sheetView showGridLines="0" workbookViewId="0"/>
  </x:sheetViews>
  <x:sheetFormatPr defaultRowHeight="14.25"/>
  <x:cols>
    <x:col min="1" max="1" width="14" customWidth="1"/>
    <x:col min="2" max="2" width="16" customWidth="1"/>
    <x:col min="3" max="3" width="13" customWidth="1"/>
    <x:col min="4" max="4" width="42" customWidth="1"/>
    <x:col min="5" max="5" width="18" customWidth="1"/>
    <x:col min="6" max="6" width="24" customWidth="1"/>
    <x:col min="7" max="7" width="18" customWidth="1"/>
    <x:col min="8" max="8" width="10" customWidth="1"/>
    <x:col min="9" max="9" width="46" customWidth="1"/>
    <x:col min="10" max="11" width="42" customWidth="1"/>
    <x:col min="12" max="12" width="46" customWidth="1"/>
    <x:col min="13" max="13" width="24" customWidth="1"/>
    <x:col min="14" max="15" width="20" customWidth="1"/>
    <x:col min="16" max="16" width="14" hidden="0" customWidth="1"/>
    <x:col min="17" max="17" width="12" hidden="0" customWidth="1"/>
    <x:col min="18" max="18" width="16" hidden="0" customWidth="1"/>
    <x:col min="19" max="19" width="18" hidden="0" customWidth="1"/>
    <x:col min="20" max="20" width="34" hidden="0" customWidth="1"/>
    <x:col min="21" max="21" width="32" hidden="0" customWidth="1"/>
    <x:col min="22" max="22" width="24" hidden="0" customWidth="1"/>
    <x:col min="23" max="23" width="28" hidden="0" customWidth="1"/>
    <x:col min="24" max="24" width="30" hidden="0" customWidth="1"/>
    <x:col min="25" max="25" width="24" hidden="0" customWidth="1"/>
    <x:col min="26" max="26" width="30" hidden="0" customWidth="1"/>
    <x:col min="27" max="27" width="46" hidden="0" customWidth="1"/>
    <x:col min="28" max="28" width="16" hidden="0" customWidth="1"/>
    <x:col min="29" max="29" width="14" hidden="0" customWidth="1"/>
    <x:col min="30" max="30" width="18" hidden="0" customWidth="1"/>
  </x:cols>
  <x:sheetData>
    <x:row r="1" ht="36" customHeight="1">
      <x:c r="A1" s="1"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3" t="s">
        <x:v>14</x:v>
      </x:c>
      <x:c r="P1" s="36" t="str">
        <x:v>retrieval_evaluation_applicable</x:v>
      </x:c>
      <x:c r="Q1" s="37" t="str">
        <x:v>gold_answerable</x:v>
      </x:c>
      <x:c r="R1" s="37" t="str">
        <x:v>gold_ambiguity_status</x:v>
      </x:c>
      <x:c r="S1" s="37" t="str">
        <x:v>gold_expected_action</x:v>
      </x:c>
      <x:c r="T1" s="37" t="str">
        <x:v>gold_clarification_question</x:v>
      </x:c>
      <x:c r="U1" s="37" t="str">
        <x:v>gold_clarification_options</x:v>
      </x:c>
      <x:c r="V1" s="37" t="str">
        <x:v>allowed_business_functions</x:v>
      </x:c>
      <x:c r="W1" s="37" t="str">
        <x:v>gold_alternative_chunk_ids</x:v>
      </x:c>
      <x:c r="X1" s="37" t="str">
        <x:v>related_chunk_ids</x:v>
      </x:c>
      <x:c r="Y1" s="37" t="str">
        <x:v>gold_document_ids</x:v>
      </x:c>
      <x:c r="Z1" s="37" t="str">
        <x:v>gold_section_titles</x:v>
      </x:c>
      <x:c r="AA1" s="37" t="str">
        <x:v>gold_review_note</x:v>
      </x:c>
      <x:c r="AB1" s="37" t="str">
        <x:v>gold_reviewed_by</x:v>
      </x:c>
      <x:c r="AC1" s="37" t="str">
        <x:v>gold_reviewed_at</x:v>
      </x:c>
      <x:c r="AD1" s="38" t="str">
        <x:v>dataset_version</x:v>
      </x:c>
    </x:row>
    <x:row r="2" ht="38.099998474121094" customHeight="1">
      <x:c r="A2" s="6" t="str">
        <x:f t="shared" ref="A2:A33" si="0">IF(OR(L2="",L2="[]"),"N","Y")</x:f>
        <x:v>Y</x:v>
      </x:c>
      <x:c r="B2" s="6" t="s">
        <x:v>15</x:v>
      </x:c>
      <x:c r="C2" s="6" t="s">
        <x:v>16</x:v>
      </x:c>
      <x:c r="D2" s="4" t="s">
        <x:v>17</x:v>
      </x:c>
      <x:c r="E2" s="6" t="str">
        <x:v>예금자보호제도</x:v>
      </x:c>
      <x:c r="F2" s="6" t="s">
        <x:v>18</x:v>
      </x:c>
      <x:c r="G2" s="6" t="s">
        <x:v>19</x:v>
      </x:c>
      <x:c r="H2" s="6" t="s">
        <x:v>20</x:v>
      </x:c>
      <x:c r="I2" s="4" t="str">
        <x:v>["https://www.kdic.or.kr/sp/dpstrprot/ProtSystProtLmts/selectScrn.do"]</x:v>
      </x:c>
      <x:c r="J2" s="4" t="s">
        <x:v>21</x:v>
      </x:c>
      <x:c r="K2" s="4" t="s">
        <x:v>22</x:v>
      </x:c>
      <x:c r="L2" s="4" t="s">
        <x:v>21</x:v>
      </x:c>
      <x:c r="M2" s="6" t="s">
        <x:v>23</x:v>
      </x:c>
      <x:c r="N2" s="6" t="s">
        <x:v>24</x:v>
      </x:c>
      <x:c r="O2" s="6" t="s">
        <x:v>25</x:v>
      </x:c>
      <x:c r="P2" s="45" t="str">
        <x:v>Y</x:v>
      </x:c>
      <x:c r="Q2" s="46" t="b">
        <x:v>1</x:v>
      </x:c>
      <x:c r="R2" s="45" t="str">
        <x:v>clear</x:v>
      </x:c>
      <x:c r="S2" s="45" t="str">
        <x:v>answer</x:v>
      </x:c>
      <x:c r="T2" s="45" t="str"/>
      <x:c r="U2" s="45" t="str">
        <x:v>[]</x:v>
      </x:c>
      <x:c r="V2" s="45" t="str">
        <x:v>["deposit_protection"]</x:v>
      </x:c>
      <x:c r="W2" s="45" t="str">
        <x:v>[]</x:v>
      </x:c>
      <x:c r="X2" s="45" t="str">
        <x:v>[]</x:v>
      </x:c>
      <x:c r="Y2" s="45" t="str">
        <x:v>["DP-001"]</x:v>
      </x:c>
      <x:c r="Z2" s="45" t="str">
        <x:v>["보호한도"]</x:v>
      </x:c>
      <x:c r="AA2" s="45" t="str"/>
      <x:c r="AB2" s="45" t="str">
        <x:v>Codex 1차 검수</x:v>
      </x:c>
      <x:c r="AC2" s="45" t="str">
        <x:v>2026-07-30</x:v>
      </x:c>
      <x:c r="AD2" s="45" t="str">
        <x:v>v1.1_gold_review</x:v>
      </x:c>
    </x:row>
    <x:row r="3" ht="38.099998474121094" customHeight="1">
      <x:c r="A3" s="7" t="str">
        <x:f t="shared" si="0"/>
        <x:v>Y</x:v>
      </x:c>
      <x:c r="B3" s="7" t="s">
        <x:v>26</x:v>
      </x:c>
      <x:c r="C3" s="7" t="s">
        <x:v>27</x:v>
      </x:c>
      <x:c r="D3" s="5" t="s">
        <x:v>28</x:v>
      </x:c>
      <x:c r="E3" s="7" t="str">
        <x:v>예금자보호제도</x:v>
      </x:c>
      <x:c r="F3" s="7" t="s">
        <x:v>18</x:v>
      </x:c>
      <x:c r="G3" s="7" t="s">
        <x:v>19</x:v>
      </x:c>
      <x:c r="H3" s="7" t="s">
        <x:v>20</x:v>
      </x:c>
      <x:c r="I3" s="5" t="str">
        <x:v>["https://www.kdic.or.kr/sp/dpstrprot/ProtSystProtLmts/selectScrn.do"]</x:v>
      </x:c>
      <x:c r="J3" s="5" t="s">
        <x:v>21</x:v>
      </x:c>
      <x:c r="K3" s="5" t="s">
        <x:v>22</x:v>
      </x:c>
      <x:c r="L3" s="5" t="s">
        <x:v>21</x:v>
      </x:c>
      <x:c r="M3" s="7" t="s">
        <x:v>23</x:v>
      </x:c>
      <x:c r="N3" s="7" t="s">
        <x:v>24</x:v>
      </x:c>
      <x:c r="O3" s="7" t="s">
        <x:v>25</x:v>
      </x:c>
      <x:c r="P3" s="47" t="str">
        <x:v>Y</x:v>
      </x:c>
      <x:c r="Q3" s="48" t="b">
        <x:v>1</x:v>
      </x:c>
      <x:c r="R3" s="47" t="str">
        <x:v>clear</x:v>
      </x:c>
      <x:c r="S3" s="47" t="str">
        <x:v>answer</x:v>
      </x:c>
      <x:c r="T3" s="47" t="str"/>
      <x:c r="U3" s="47" t="str">
        <x:v>[]</x:v>
      </x:c>
      <x:c r="V3" s="47" t="str">
        <x:v>["deposit_protection"]</x:v>
      </x:c>
      <x:c r="W3" s="47" t="str">
        <x:v>[]</x:v>
      </x:c>
      <x:c r="X3" s="47" t="str">
        <x:v>[]</x:v>
      </x:c>
      <x:c r="Y3" s="47" t="str">
        <x:v>["DP-001"]</x:v>
      </x:c>
      <x:c r="Z3" s="47" t="str">
        <x:v>["보호한도"]</x:v>
      </x:c>
      <x:c r="AA3" s="47" t="str"/>
      <x:c r="AB3" s="47" t="str">
        <x:v>Codex 1차 검수</x:v>
      </x:c>
      <x:c r="AC3" s="47" t="str">
        <x:v>2026-07-30</x:v>
      </x:c>
      <x:c r="AD3" s="47" t="str">
        <x:v>v1.1_gold_review</x:v>
      </x:c>
    </x:row>
    <x:row r="4" ht="38.099998474121094" customHeight="1">
      <x:c r="A4" s="7" t="str">
        <x:f t="shared" si="0"/>
        <x:v>Y</x:v>
      </x:c>
      <x:c r="B4" s="7" t="s">
        <x:v>29</x:v>
      </x:c>
      <x:c r="C4" s="7" t="s">
        <x:v>30</x:v>
      </x:c>
      <x:c r="D4" s="5" t="s">
        <x:v>31</x:v>
      </x:c>
      <x:c r="E4" s="7" t="str">
        <x:v>예금자보호제도</x:v>
      </x:c>
      <x:c r="F4" s="7" t="s">
        <x:v>18</x:v>
      </x:c>
      <x:c r="G4" s="7" t="s">
        <x:v>32</x:v>
      </x:c>
      <x:c r="H4" s="7" t="s">
        <x:v>20</x:v>
      </x:c>
      <x:c r="I4" s="5" t="str">
        <x:v>["https://www.kdic.or.kr/sp/dpstrprot/ProtSystProtLmts/selectScrn.do"]</x:v>
      </x:c>
      <x:c r="J4" s="5" t="s">
        <x:v>21</x:v>
      </x:c>
      <x:c r="K4" s="5" t="s">
        <x:v>22</x:v>
      </x:c>
      <x:c r="L4" s="5" t="s">
        <x:v>21</x:v>
      </x:c>
      <x:c r="M4" s="7" t="s">
        <x:v>23</x:v>
      </x:c>
      <x:c r="N4" s="7" t="s">
        <x:v>24</x:v>
      </x:c>
      <x:c r="O4" s="7" t="s">
        <x:v>25</x:v>
      </x:c>
      <x:c r="P4" s="47" t="str">
        <x:v>Y</x:v>
      </x:c>
      <x:c r="Q4" s="48" t="b">
        <x:v>1</x:v>
      </x:c>
      <x:c r="R4" s="47" t="str">
        <x:v>clear</x:v>
      </x:c>
      <x:c r="S4" s="47" t="str">
        <x:v>answer</x:v>
      </x:c>
      <x:c r="T4" s="47" t="str"/>
      <x:c r="U4" s="47" t="str">
        <x:v>[]</x:v>
      </x:c>
      <x:c r="V4" s="47" t="str">
        <x:v>["deposit_protection"]</x:v>
      </x:c>
      <x:c r="W4" s="47" t="str">
        <x:v>[]</x:v>
      </x:c>
      <x:c r="X4" s="47" t="str">
        <x:v>[]</x:v>
      </x:c>
      <x:c r="Y4" s="47" t="str">
        <x:v>["DP-001"]</x:v>
      </x:c>
      <x:c r="Z4" s="47" t="str">
        <x:v>["보호한도"]</x:v>
      </x:c>
      <x:c r="AA4" s="47" t="str"/>
      <x:c r="AB4" s="47" t="str">
        <x:v>Codex 1차 검수</x:v>
      </x:c>
      <x:c r="AC4" s="47" t="str">
        <x:v>2026-07-30</x:v>
      </x:c>
      <x:c r="AD4" s="47" t="str">
        <x:v>v1.1_gold_review</x:v>
      </x:c>
    </x:row>
    <x:row r="5" ht="38.099998474121094" customHeight="1">
      <x:c r="A5" s="7" t="str">
        <x:f t="shared" si="0"/>
        <x:v>Y</x:v>
      </x:c>
      <x:c r="B5" s="7" t="s">
        <x:v>33</x:v>
      </x:c>
      <x:c r="C5" s="7" t="s">
        <x:v>34</x:v>
      </x:c>
      <x:c r="D5" s="5" t="s">
        <x:v>35</x:v>
      </x:c>
      <x:c r="E5" s="7" t="str">
        <x:v>예금자보호제도</x:v>
      </x:c>
      <x:c r="F5" s="7" t="s">
        <x:v>18</x:v>
      </x:c>
      <x:c r="G5" s="7" t="s">
        <x:v>32</x:v>
      </x:c>
      <x:c r="H5" s="7" t="s">
        <x:v>20</x:v>
      </x:c>
      <x:c r="I5" s="5" t="str">
        <x:v>["https://www.kdic.or.kr/sp/dpstrprot/ProtSyst/selectScrn.do"]</x:v>
      </x:c>
      <x:c r="J5" s="5" t="s">
        <x:v>36</x:v>
      </x:c>
      <x:c r="K5" s="5" t="s">
        <x:v>37</x:v>
      </x:c>
      <x:c r="L5" s="5" t="s">
        <x:v>38</x:v>
      </x:c>
      <x:c r="M5" s="7" t="s">
        <x:v>39</x:v>
      </x:c>
      <x:c r="N5" s="7" t="s">
        <x:v>40</x:v>
      </x:c>
      <x:c r="O5" s="7" t="s">
        <x:v>41</x:v>
      </x:c>
      <x:c r="P5" s="47" t="str">
        <x:v>Y</x:v>
      </x:c>
      <x:c r="Q5" s="48" t="b">
        <x:v>1</x:v>
      </x:c>
      <x:c r="R5" s="47" t="str">
        <x:v>clear</x:v>
      </x:c>
      <x:c r="S5" s="47" t="str">
        <x:v>answer</x:v>
      </x:c>
      <x:c r="T5" s="47" t="str"/>
      <x:c r="U5" s="47" t="str">
        <x:v>[]</x:v>
      </x:c>
      <x:c r="V5" s="47" t="str">
        <x:v>["deposit_protection"]</x:v>
      </x:c>
      <x:c r="W5" s="47" t="str">
        <x:v>[]</x:v>
      </x:c>
      <x:c r="X5" s="47" t="str">
        <x:v>[]</x:v>
      </x:c>
      <x:c r="Y5" s="47" t="str">
        <x:v>["DP-002"]</x:v>
      </x:c>
      <x:c r="Z5" s="47" t="str">
        <x:v>["예금 지급불능 사태를 방지","보험의 원리를 이용하여 예금자를 보호"]</x:v>
      </x:c>
      <x:c r="AA5" s="47" t="str"/>
      <x:c r="AB5" s="47" t="str">
        <x:v>Codex 1차 검수</x:v>
      </x:c>
      <x:c r="AC5" s="47" t="str">
        <x:v>2026-07-30</x:v>
      </x:c>
      <x:c r="AD5" s="47" t="str">
        <x:v>v1.1_gold_review</x:v>
      </x:c>
    </x:row>
    <x:row r="6" ht="38.099998474121094" customHeight="1">
      <x:c r="A6" s="7" t="str">
        <x:f t="shared" si="0"/>
        <x:v>Y</x:v>
      </x:c>
      <x:c r="B6" s="7" t="s">
        <x:v>42</x:v>
      </x:c>
      <x:c r="C6" s="7" t="s">
        <x:v>43</x:v>
      </x:c>
      <x:c r="D6" s="5" t="s">
        <x:v>44</x:v>
      </x:c>
      <x:c r="E6" s="7" t="str">
        <x:v>예금자보호제도</x:v>
      </x:c>
      <x:c r="F6" s="7" t="s">
        <x:v>18</x:v>
      </x:c>
      <x:c r="G6" s="7" t="s">
        <x:v>32</x:v>
      </x:c>
      <x:c r="H6" s="7" t="s">
        <x:v>20</x:v>
      </x:c>
      <x:c r="I6" s="5" t="str">
        <x:v>["https://www.kdic.or.kr/sp/dpstrprot/ProtSyst/selectScrn.do"]</x:v>
      </x:c>
      <x:c r="J6" s="5" t="s">
        <x:v>37</x:v>
      </x:c>
      <x:c r="K6" s="5" t="s">
        <x:v>45</x:v>
      </x:c>
      <x:c r="L6" s="5" t="s">
        <x:v>46</x:v>
      </x:c>
      <x:c r="M6" s="7" t="s">
        <x:v>39</x:v>
      </x:c>
      <x:c r="N6" s="7" t="s">
        <x:v>40</x:v>
      </x:c>
      <x:c r="O6" s="7" t="s">
        <x:v>41</x:v>
      </x:c>
      <x:c r="P6" s="47" t="str">
        <x:v>Y</x:v>
      </x:c>
      <x:c r="Q6" s="48" t="b">
        <x:v>1</x:v>
      </x:c>
      <x:c r="R6" s="47" t="str">
        <x:v>clear</x:v>
      </x:c>
      <x:c r="S6" s="47" t="str">
        <x:v>answer</x:v>
      </x:c>
      <x:c r="T6" s="47" t="str"/>
      <x:c r="U6" s="47" t="str">
        <x:v>[]</x:v>
      </x:c>
      <x:c r="V6" s="47" t="str">
        <x:v>["deposit_protection"]</x:v>
      </x:c>
      <x:c r="W6" s="47" t="str">
        <x:v>[]</x:v>
      </x:c>
      <x:c r="X6" s="47" t="str">
        <x:v>[]</x:v>
      </x:c>
      <x:c r="Y6" s="47" t="str">
        <x:v>["DP-002"]</x:v>
      </x:c>
      <x:c r="Z6" s="47" t="str">
        <x:v>["보험의 원리를 이용하여 예금자를 보호","예금보험의 구조"]</x:v>
      </x:c>
      <x:c r="AA6" s="47" t="str"/>
      <x:c r="AB6" s="47" t="str">
        <x:v>Codex 1차 검수</x:v>
      </x:c>
      <x:c r="AC6" s="47" t="str">
        <x:v>2026-07-30</x:v>
      </x:c>
      <x:c r="AD6" s="47" t="str">
        <x:v>v1.1_gold_review</x:v>
      </x:c>
    </x:row>
    <x:row r="7" ht="38.099998474121094" customHeight="1">
      <x:c r="A7" s="7" t="str">
        <x:f t="shared" si="0"/>
        <x:v>Y</x:v>
      </x:c>
      <x:c r="B7" s="7" t="s">
        <x:v>47</x:v>
      </x:c>
      <x:c r="C7" s="7" t="s">
        <x:v>48</x:v>
      </x:c>
      <x:c r="D7" s="5" t="s">
        <x:v>49</x:v>
      </x:c>
      <x:c r="E7" s="7" t="str">
        <x:v>예금자보호제도</x:v>
      </x:c>
      <x:c r="F7" s="7" t="s">
        <x:v>18</x:v>
      </x:c>
      <x:c r="G7" s="7" t="s">
        <x:v>19</x:v>
      </x:c>
      <x:c r="H7" s="7" t="s">
        <x:v>20</x:v>
      </x:c>
      <x:c r="I7" s="5" t="str">
        <x:v>["https://www.kdic.or.kr/sp/dpstrprot/ProtSyst/selectScrn.do"]</x:v>
      </x:c>
      <x:c r="J7" s="5" t="s">
        <x:v>37</x:v>
      </x:c>
      <x:c r="K7" s="5" t="s">
        <x:v>22</x:v>
      </x:c>
      <x:c r="L7" s="5" t="s">
        <x:v>37</x:v>
      </x:c>
      <x:c r="M7" s="7" t="s">
        <x:v>23</x:v>
      </x:c>
      <x:c r="N7" s="7" t="s">
        <x:v>24</x:v>
      </x:c>
      <x:c r="O7" s="7" t="s">
        <x:v>41</x:v>
      </x:c>
      <x:c r="P7" s="47" t="str">
        <x:v>Y</x:v>
      </x:c>
      <x:c r="Q7" s="48" t="b">
        <x:v>1</x:v>
      </x:c>
      <x:c r="R7" s="47" t="str">
        <x:v>clear</x:v>
      </x:c>
      <x:c r="S7" s="47" t="str">
        <x:v>answer</x:v>
      </x:c>
      <x:c r="T7" s="47" t="str"/>
      <x:c r="U7" s="47" t="str">
        <x:v>[]</x:v>
      </x:c>
      <x:c r="V7" s="47" t="str">
        <x:v>["deposit_protection"]</x:v>
      </x:c>
      <x:c r="W7" s="47" t="str">
        <x:v>[]</x:v>
      </x:c>
      <x:c r="X7" s="47" t="str">
        <x:v>[]</x:v>
      </x:c>
      <x:c r="Y7" s="47" t="str">
        <x:v>["DP-002"]</x:v>
      </x:c>
      <x:c r="Z7" s="47" t="str">
        <x:v>["보험의 원리를 이용하여 예금자를 보호"]</x:v>
      </x:c>
      <x:c r="AA7" s="47" t="str"/>
      <x:c r="AB7" s="47" t="str">
        <x:v>Codex 1차 검수</x:v>
      </x:c>
      <x:c r="AC7" s="47" t="str">
        <x:v>2026-07-30</x:v>
      </x:c>
      <x:c r="AD7" s="47" t="str">
        <x:v>v1.1_gold_review</x:v>
      </x:c>
    </x:row>
    <x:row r="8" ht="38.099998474121094" customHeight="1">
      <x:c r="A8" s="7" t="str">
        <x:f t="shared" si="0"/>
        <x:v>Y</x:v>
      </x:c>
      <x:c r="B8" s="7" t="s">
        <x:v>50</x:v>
      </x:c>
      <x:c r="C8" s="7" t="s">
        <x:v>51</x:v>
      </x:c>
      <x:c r="D8" s="5" t="s">
        <x:v>52</x:v>
      </x:c>
      <x:c r="E8" s="7" t="str">
        <x:v>예금자보호제도</x:v>
      </x:c>
      <x:c r="F8" s="7" t="s">
        <x:v>18</x:v>
      </x:c>
      <x:c r="G8" s="7" t="s">
        <x:v>32</x:v>
      </x:c>
      <x:c r="H8" s="7" t="s">
        <x:v>20</x:v>
      </x:c>
      <x:c r="I8" s="5" t="str">
        <x:v>["https://www.kdic.or.kr/sp/dpstrprot/selectProtSystProtSumr.do"]</x:v>
      </x:c>
      <x:c r="J8" s="5" t="str">
        <x:v>["DP-003_chunk_000"]</x:v>
      </x:c>
      <x:c r="K8" s="5" t="str">
        <x:v>["DP-003_chunk_002"]</x:v>
      </x:c>
      <x:c r="L8" s="5" t="str">
        <x:v>["DP-003_chunk_000","DP-003_chunk_002"]</x:v>
      </x:c>
      <x:c r="M8" s="7" t="str">
        <x:v>PRIMARY_ONLY</x:v>
      </x:c>
      <x:c r="N8" s="7" t="str">
        <x:v>N</x:v>
      </x:c>
      <x:c r="O8" s="7" t="str">
        <x:v>codex_reviewed_pending_human</x:v>
      </x:c>
      <x:c r="P8" s="47" t="str">
        <x:v>Y</x:v>
      </x:c>
      <x:c r="Q8" s="48" t="b">
        <x:v>1</x:v>
      </x:c>
      <x:c r="R8" s="47" t="str">
        <x:v>clear</x:v>
      </x:c>
      <x:c r="S8" s="47" t="str">
        <x:v>answer</x:v>
      </x:c>
      <x:c r="T8" s="47" t="str"/>
      <x:c r="U8" s="47" t="str">
        <x:v>[]</x:v>
      </x:c>
      <x:c r="V8" s="47" t="str">
        <x:v>["deposit_protection"]</x:v>
      </x:c>
      <x:c r="W8" s="47" t="str">
        <x:v>["DP-003_chunk_002"]</x:v>
      </x:c>
      <x:c r="X8" s="47" t="str">
        <x:v>[]</x:v>
      </x:c>
      <x:c r="Y8" s="47" t="str">
        <x:v>["DP-003"]</x:v>
      </x:c>
      <x:c r="Z8" s="47" t="str">
        <x:v>["보호대상 금융회사 개요","보호대상금융회사"]</x:v>
      </x:c>
      <x:c r="AA8" s="47" t="str">
        <x:v>금융회사 종류를 직접 설명하는 개요 청크를 Primary로 변경.</x:v>
      </x:c>
      <x:c r="AB8" s="47" t="str">
        <x:v>Codex 1차 검수</x:v>
      </x:c>
      <x:c r="AC8" s="47" t="str">
        <x:v>2026-07-30</x:v>
      </x:c>
      <x:c r="AD8" s="47" t="str">
        <x:v>v1.1_gold_review</x:v>
      </x:c>
    </x:row>
    <x:row r="9" ht="38.099998474121094" customHeight="1">
      <x:c r="A9" s="7" t="str">
        <x:f t="shared" si="0"/>
        <x:v>Y</x:v>
      </x:c>
      <x:c r="B9" s="7" t="s">
        <x:v>53</x:v>
      </x:c>
      <x:c r="C9" s="7" t="s">
        <x:v>54</x:v>
      </x:c>
      <x:c r="D9" s="5" t="s">
        <x:v>55</x:v>
      </x:c>
      <x:c r="E9" s="7" t="str">
        <x:v>예금자보호제도</x:v>
      </x:c>
      <x:c r="F9" s="7" t="s">
        <x:v>18</x:v>
      </x:c>
      <x:c r="G9" s="7" t="s">
        <x:v>32</x:v>
      </x:c>
      <x:c r="H9" s="7" t="s">
        <x:v>20</x:v>
      </x:c>
      <x:c r="I9" s="5" t="str">
        <x:v>["https://www.kdic.or.kr/sp/dpstrprot/selectProtSystProtSumr.do"]</x:v>
      </x:c>
      <x:c r="J9" s="5" t="str">
        <x:v>["DP-003_chunk_000"]</x:v>
      </x:c>
      <x:c r="K9" s="5" t="str">
        <x:v>["DP-003_chunk_002"]</x:v>
      </x:c>
      <x:c r="L9" s="5" t="str">
        <x:v>["DP-003_chunk_000","DP-003_chunk_002"]</x:v>
      </x:c>
      <x:c r="M9" s="7" t="str">
        <x:v>PRIMARY_ONLY</x:v>
      </x:c>
      <x:c r="N9" s="7" t="str">
        <x:v>N</x:v>
      </x:c>
      <x:c r="O9" s="7" t="str">
        <x:v>codex_reviewed_pending_human</x:v>
      </x:c>
      <x:c r="P9" s="47" t="str">
        <x:v>Y</x:v>
      </x:c>
      <x:c r="Q9" s="48" t="b">
        <x:v>1</x:v>
      </x:c>
      <x:c r="R9" s="47" t="str">
        <x:v>clear</x:v>
      </x:c>
      <x:c r="S9" s="47" t="str">
        <x:v>answer</x:v>
      </x:c>
      <x:c r="T9" s="47" t="str"/>
      <x:c r="U9" s="47" t="str">
        <x:v>[]</x:v>
      </x:c>
      <x:c r="V9" s="47" t="str">
        <x:v>["deposit_protection"]</x:v>
      </x:c>
      <x:c r="W9" s="47" t="str">
        <x:v>["DP-003_chunk_002"]</x:v>
      </x:c>
      <x:c r="X9" s="47" t="str">
        <x:v>[]</x:v>
      </x:c>
      <x:c r="Y9" s="47" t="str">
        <x:v>["DP-003"]</x:v>
      </x:c>
      <x:c r="Z9" s="47" t="str">
        <x:v>["보호대상 금융회사 개요","보호대상금융회사"]</x:v>
      </x:c>
      <x:c r="AA9" s="47" t="str">
        <x:v>상호저축은행 포함 여부를 직접 확인할 수 있는 개요 청크로 정리.</x:v>
      </x:c>
      <x:c r="AB9" s="47" t="str">
        <x:v>Codex 1차 검수</x:v>
      </x:c>
      <x:c r="AC9" s="47" t="str">
        <x:v>2026-07-30</x:v>
      </x:c>
      <x:c r="AD9" s="47" t="str">
        <x:v>v1.1_gold_review</x:v>
      </x:c>
    </x:row>
    <x:row r="10" ht="38.099998474121094" customHeight="1">
      <x:c r="A10" s="7" t="str">
        <x:f t="shared" si="0"/>
        <x:v>Y</x:v>
      </x:c>
      <x:c r="B10" s="7" t="s">
        <x:v>56</x:v>
      </x:c>
      <x:c r="C10" s="7" t="s">
        <x:v>57</x:v>
      </x:c>
      <x:c r="D10" s="5" t="s">
        <x:v>58</x:v>
      </x:c>
      <x:c r="E10" s="7" t="str">
        <x:v>예금자보호제도</x:v>
      </x:c>
      <x:c r="F10" s="7" t="s">
        <x:v>18</x:v>
      </x:c>
      <x:c r="G10" s="7" t="s">
        <x:v>32</x:v>
      </x:c>
      <x:c r="H10" s="7" t="s">
        <x:v>20</x:v>
      </x:c>
      <x:c r="I10" s="5" t="str">
        <x:v>["https://www.kdic.or.kr/sp/dpstrprot/selectProtSystProtSumr.do"]</x:v>
      </x:c>
      <x:c r="J10" s="5" t="str">
        <x:v>["DP-003_chunk_002"]</x:v>
      </x:c>
      <x:c r="K10" s="5" t="str">
        <x:v>[]</x:v>
      </x:c>
      <x:c r="L10" s="5" t="str">
        <x:v>["DP-003_chunk_002"]</x:v>
      </x:c>
      <x:c r="M10" s="7" t="str">
        <x:v>PRIMARY_ONLY</x:v>
      </x:c>
      <x:c r="N10" s="7" t="str">
        <x:v>N</x:v>
      </x:c>
      <x:c r="O10" s="7" t="str">
        <x:v>codex_reviewed_pending_human</x:v>
      </x:c>
      <x:c r="P10" s="47" t="str">
        <x:v>Y</x:v>
      </x:c>
      <x:c r="Q10" s="48" t="b">
        <x:v>1</x:v>
      </x:c>
      <x:c r="R10" s="47" t="str">
        <x:v>clear</x:v>
      </x:c>
      <x:c r="S10" s="47" t="str">
        <x:v>answer</x:v>
      </x:c>
      <x:c r="T10" s="47" t="str"/>
      <x:c r="U10" s="47" t="str">
        <x:v>[]</x:v>
      </x:c>
      <x:c r="V10" s="47" t="str">
        <x:v>["deposit_protection"]</x:v>
      </x:c>
      <x:c r="W10" s="47" t="str">
        <x:v>["DP-003_chunk_000"]</x:v>
      </x:c>
      <x:c r="X10" s="47" t="str">
        <x:v>[]</x:v>
      </x:c>
      <x:c r="Y10" s="47" t="str">
        <x:v>["DP-003"]</x:v>
      </x:c>
      <x:c r="Z10" s="47" t="str">
        <x:v>["보호대상금융회사"]</x:v>
      </x:c>
      <x:c r="AA10" s="47" t="str">
        <x:v>증권사 포함 여부는 표와 개요 청크 모두 정답 가능하여 대체 Gold 추가.</x:v>
      </x:c>
      <x:c r="AB10" s="47" t="str">
        <x:v>Codex 1차 검수</x:v>
      </x:c>
      <x:c r="AC10" s="47" t="str">
        <x:v>2026-07-30</x:v>
      </x:c>
      <x:c r="AD10" s="47" t="str">
        <x:v>v1.1_gold_review</x:v>
      </x:c>
    </x:row>
    <x:row r="11" ht="38.099998474121094" customHeight="1">
      <x:c r="A11" s="7" t="str">
        <x:f t="shared" si="0"/>
        <x:v>N</x:v>
      </x:c>
      <x:c r="B11" s="7" t="s">
        <x:v>59</x:v>
      </x:c>
      <x:c r="C11" s="7" t="s">
        <x:v>60</x:v>
      </x:c>
      <x:c r="D11" s="5" t="s">
        <x:v>61</x:v>
      </x:c>
      <x:c r="E11" s="7" t="str">
        <x:v>예금자보호제도</x:v>
      </x:c>
      <x:c r="F11" s="7" t="s">
        <x:v>18</x:v>
      </x:c>
      <x:c r="G11" s="7" t="s">
        <x:v>32</x:v>
      </x:c>
      <x:c r="H11" s="7" t="s">
        <x:v>20</x:v>
      </x:c>
      <x:c r="I11" s="5" t="str">
        <x:v>[]</x:v>
      </x:c>
      <x:c r="J11" s="5" t="str">
        <x:v>[]</x:v>
      </x:c>
      <x:c r="K11" s="5" t="str">
        <x:v>[]</x:v>
      </x:c>
      <x:c r="L11" s="5" t="str">
        <x:v>[]</x:v>
      </x:c>
      <x:c r="M11" s="7" t="str">
        <x:v>NOT_APPLICABLE</x:v>
      </x:c>
      <x:c r="N11" s="7" t="str">
        <x:v>N</x:v>
      </x:c>
      <x:c r="O11" s="7" t="str">
        <x:v>codex_reviewed_pending_human</x:v>
      </x:c>
      <x:c r="P11" s="47" t="str">
        <x:v>N</x:v>
      </x:c>
      <x:c r="Q11" s="48" t="b">
        <x:v>0</x:v>
      </x:c>
      <x:c r="R11" s="47" t="str">
        <x:v>needs_clarification</x:v>
      </x:c>
      <x:c r="S11" s="47" t="str">
        <x:v>ask_clarification</x:v>
      </x:c>
      <x:c r="T11" s="47" t="str">
        <x:v>어느 금융권역 또는 어떤 금융상품의 보호 여부를 확인하고 싶으신가요?</x:v>
      </x:c>
      <x:c r="U11" s="47" t="str">
        <x:v>["은행 예금","보험상품","증권·투자상품","퇴직연금"]</x:v>
      </x:c>
      <x:c r="V11" s="47" t="str">
        <x:v>["deposit_protection"]</x:v>
      </x:c>
      <x:c r="W11" s="47" t="str">
        <x:v>[]</x:v>
      </x:c>
      <x:c r="X11" s="47" t="str">
        <x:v>["DP-004_chunk_012","DP-004_chunk_007"]</x:v>
      </x:c>
      <x:c r="Y11" s="47" t="str">
        <x:v>[]</x:v>
      </x:c>
      <x:c r="Z11" s="47" t="str">
        <x:v>[]</x:v>
      </x:c>
      <x:c r="AA11" s="47" t="str">
        <x:v>질문 범위가 전체 금융상품으로 넓고 기존 Gold는 보험회사 일부만 포함하여 검색평가에서 제외.</x:v>
      </x:c>
      <x:c r="AB11" s="47" t="str">
        <x:v>Codex 1차 검수</x:v>
      </x:c>
      <x:c r="AC11" s="47" t="str">
        <x:v>2026-07-30</x:v>
      </x:c>
      <x:c r="AD11" s="47" t="str">
        <x:v>v1.1_gold_review</x:v>
      </x:c>
    </x:row>
    <x:row r="12" ht="38.099998474121094" customHeight="1">
      <x:c r="A12" s="7" t="str">
        <x:f t="shared" si="0"/>
        <x:v>Y</x:v>
      </x:c>
      <x:c r="B12" s="7" t="s">
        <x:v>62</x:v>
      </x:c>
      <x:c r="C12" s="7" t="s">
        <x:v>63</x:v>
      </x:c>
      <x:c r="D12" s="5" t="s">
        <x:v>64</x:v>
      </x:c>
      <x:c r="E12" s="7" t="str">
        <x:v>예금자보호제도</x:v>
      </x:c>
      <x:c r="F12" s="7" t="s">
        <x:v>18</x:v>
      </x:c>
      <x:c r="G12" s="7" t="s">
        <x:v>32</x:v>
      </x:c>
      <x:c r="H12" s="7" t="s">
        <x:v>20</x:v>
      </x:c>
      <x:c r="I12" s="5" t="str">
        <x:v>["https://www.kdic.or.kr/sp/dpstrprot/selectProtSystProtTrgtPrdctSumr.do"]</x:v>
      </x:c>
      <x:c r="J12" s="5" t="str">
        <x:v>["DP-004_chunk_005"]</x:v>
      </x:c>
      <x:c r="K12" s="5" t="str">
        <x:v>[]</x:v>
      </x:c>
      <x:c r="L12" s="5" t="str">
        <x:v>["DP-004_chunk_005"]</x:v>
      </x:c>
      <x:c r="M12" s="7" t="str">
        <x:v>PRIMARY_ONLY</x:v>
      </x:c>
      <x:c r="N12" s="7" t="str">
        <x:v>N</x:v>
      </x:c>
      <x:c r="O12" s="7" t="str">
        <x:v>codex_reviewed_pending_human</x:v>
      </x:c>
      <x:c r="P12" s="47" t="str">
        <x:v>Y</x:v>
      </x:c>
      <x:c r="Q12" s="48" t="b">
        <x:v>1</x:v>
      </x:c>
      <x:c r="R12" s="47" t="str">
        <x:v>clear</x:v>
      </x:c>
      <x:c r="S12" s="47" t="str">
        <x:v>answer</x:v>
      </x:c>
      <x:c r="T12" s="47" t="str"/>
      <x:c r="U12" s="47" t="str">
        <x:v>[]</x:v>
      </x:c>
      <x:c r="V12" s="47" t="str">
        <x:v>["deposit_protection"]</x:v>
      </x:c>
      <x:c r="W12" s="47" t="str">
        <x:v>[]</x:v>
      </x:c>
      <x:c r="X12" s="47" t="str">
        <x:v>[]</x:v>
      </x:c>
      <x:c r="Y12" s="47" t="str">
        <x:v>["DP-004"]</x:v>
      </x:c>
      <x:c r="Z12" s="47" t="str">
        <x:v>["투자 매매업자·투자 중개업자 비보호 금융상품"]</x:v>
      </x:c>
      <x:c r="AA12" s="47" t="str">
        <x:v>무관한 보험회사 비보호 상품 청크 제거.</x:v>
      </x:c>
      <x:c r="AB12" s="47" t="str">
        <x:v>Codex 1차 검수</x:v>
      </x:c>
      <x:c r="AC12" s="47" t="str">
        <x:v>2026-07-30</x:v>
      </x:c>
      <x:c r="AD12" s="47" t="str">
        <x:v>v1.1_gold_review</x:v>
      </x:c>
    </x:row>
    <x:row r="13" ht="38.099998474121094" customHeight="1">
      <x:c r="A13" s="7" t="str">
        <x:f t="shared" si="0"/>
        <x:v>N</x:v>
      </x:c>
      <x:c r="B13" s="7" t="s">
        <x:v>65</x:v>
      </x:c>
      <x:c r="C13" s="7" t="s">
        <x:v>66</x:v>
      </x:c>
      <x:c r="D13" s="5" t="s">
        <x:v>67</x:v>
      </x:c>
      <x:c r="E13" s="7" t="str">
        <x:v>예금자보호제도</x:v>
      </x:c>
      <x:c r="F13" s="7" t="s">
        <x:v>18</x:v>
      </x:c>
      <x:c r="G13" s="7" t="s">
        <x:v>32</x:v>
      </x:c>
      <x:c r="H13" s="7" t="s">
        <x:v>20</x:v>
      </x:c>
      <x:c r="I13" s="5" t="str">
        <x:v>[]</x:v>
      </x:c>
      <x:c r="J13" s="5" t="str">
        <x:v>[]</x:v>
      </x:c>
      <x:c r="K13" s="5" t="str">
        <x:v>[]</x:v>
      </x:c>
      <x:c r="L13" s="5" t="str">
        <x:v>[]</x:v>
      </x:c>
      <x:c r="M13" s="7" t="str">
        <x:v>NOT_APPLICABLE</x:v>
      </x:c>
      <x:c r="N13" s="7" t="str">
        <x:v>N</x:v>
      </x:c>
      <x:c r="O13" s="7" t="str">
        <x:v>codex_reviewed_pending_human</x:v>
      </x:c>
      <x:c r="P13" s="47" t="str">
        <x:v>N</x:v>
      </x:c>
      <x:c r="Q13" s="48" t="b">
        <x:v>0</x:v>
      </x:c>
      <x:c r="R13" s="47" t="str">
        <x:v>needs_clarification</x:v>
      </x:c>
      <x:c r="S13" s="47" t="str">
        <x:v>ask_clarification</x:v>
      </x:c>
      <x:c r="T13" s="47" t="str">
        <x:v>보호 여부를 확인할 금융회사 종류나 상품명을 알려주시겠어요?</x:v>
      </x:c>
      <x:c r="U13" s="47" t="str">
        <x:v>["은행","보험회사","증권사","저축은행"]</x:v>
      </x:c>
      <x:c r="V13" s="47" t="str">
        <x:v>["deposit_protection"]</x:v>
      </x:c>
      <x:c r="W13" s="47" t="str">
        <x:v>[]</x:v>
      </x:c>
      <x:c r="X13" s="47" t="str">
        <x:v>["DP-004_chunk_007","DP-004_chunk_003"]</x:v>
      </x:c>
      <x:c r="Y13" s="47" t="str">
        <x:v>[]</x:v>
      </x:c>
      <x:c r="Z13" s="47" t="str">
        <x:v>[]</x:v>
      </x:c>
      <x:c r="AA13" s="47" t="str">
        <x:v>은행·보험 청크만으로 전체 보호·비보호 상품 구분을 대표할 수 없어 검색평가에서 제외.</x:v>
      </x:c>
      <x:c r="AB13" s="47" t="str">
        <x:v>Codex 1차 검수</x:v>
      </x:c>
      <x:c r="AC13" s="47" t="str">
        <x:v>2026-07-30</x:v>
      </x:c>
      <x:c r="AD13" s="47" t="str">
        <x:v>v1.1_gold_review</x:v>
      </x:c>
    </x:row>
    <x:row r="14" ht="38.099998474121094" customHeight="1">
      <x:c r="A14" s="7" t="str">
        <x:f t="shared" si="0"/>
        <x:v>Y</x:v>
      </x:c>
      <x:c r="B14" s="7" t="s">
        <x:v>68</x:v>
      </x:c>
      <x:c r="C14" s="7" t="s">
        <x:v>69</x:v>
      </x:c>
      <x:c r="D14" s="5" t="s">
        <x:v>70</x:v>
      </x:c>
      <x:c r="E14" s="7" t="str">
        <x:v>예금자보호제도</x:v>
      </x:c>
      <x:c r="F14" s="7" t="s">
        <x:v>18</x:v>
      </x:c>
      <x:c r="G14" s="7" t="s">
        <x:v>71</x:v>
      </x:c>
      <x:c r="H14" s="7" t="s">
        <x:v>72</x:v>
      </x:c>
      <x:c r="I14" s="5" t="str">
        <x:v>["https://fins.kdic.or.kr/cm/bbs/selectFaqNramtAply.do"]</x:v>
      </x:c>
      <x:c r="J14" s="5" t="s">
        <x:v>73</x:v>
      </x:c>
      <x:c r="K14" s="5" t="s">
        <x:v>22</x:v>
      </x:c>
      <x:c r="L14" s="5" t="s">
        <x:v>73</x:v>
      </x:c>
      <x:c r="M14" s="7" t="s">
        <x:v>23</x:v>
      </x:c>
      <x:c r="N14" s="7" t="s">
        <x:v>24</x:v>
      </x:c>
      <x:c r="O14" s="7" t="s">
        <x:v>41</x:v>
      </x:c>
      <x:c r="P14" s="47" t="str">
        <x:v>Y</x:v>
      </x:c>
      <x:c r="Q14" s="48" t="b">
        <x:v>1</x:v>
      </x:c>
      <x:c r="R14" s="47" t="str">
        <x:v>clear</x:v>
      </x:c>
      <x:c r="S14" s="47" t="str">
        <x:v>answer</x:v>
      </x:c>
      <x:c r="T14" s="47" t="str"/>
      <x:c r="U14" s="47" t="str">
        <x:v>[]</x:v>
      </x:c>
      <x:c r="V14" s="47" t="str">
        <x:v>["deposit_protection"]</x:v>
      </x:c>
      <x:c r="W14" s="47" t="str">
        <x:v>[]</x:v>
      </x:c>
      <x:c r="X14" s="47" t="str">
        <x:v>[]</x:v>
      </x:c>
      <x:c r="Y14" s="47" t="str">
        <x:v>["DP-005"]</x:v>
      </x:c>
      <x:c r="Z14" s="47" t="str">
        <x:v>["계열 저축은행에 분산하여 예금을 하였는데 각각 1억원까지 예금 보호가 되나요?"]</x:v>
      </x:c>
      <x:c r="AA14" s="47" t="str"/>
      <x:c r="AB14" s="47" t="str">
        <x:v>Codex 1차 검수</x:v>
      </x:c>
      <x:c r="AC14" s="47" t="str">
        <x:v>2026-07-30</x:v>
      </x:c>
      <x:c r="AD14" s="47" t="str">
        <x:v>v1.1_gold_review</x:v>
      </x:c>
    </x:row>
    <x:row r="15" ht="38.099998474121094" customHeight="1">
      <x:c r="A15" s="7" t="str">
        <x:f t="shared" si="0"/>
        <x:v>Y</x:v>
      </x:c>
      <x:c r="B15" s="7" t="s">
        <x:v>74</x:v>
      </x:c>
      <x:c r="C15" s="7" t="s">
        <x:v>75</x:v>
      </x:c>
      <x:c r="D15" s="5" t="s">
        <x:v>76</x:v>
      </x:c>
      <x:c r="E15" s="7" t="str">
        <x:v>예금자보호제도</x:v>
      </x:c>
      <x:c r="F15" s="7" t="s">
        <x:v>18</x:v>
      </x:c>
      <x:c r="G15" s="7" t="s">
        <x:v>71</x:v>
      </x:c>
      <x:c r="H15" s="7" t="s">
        <x:v>72</x:v>
      </x:c>
      <x:c r="I15" s="5" t="str">
        <x:v>["https://fins.kdic.or.kr/cm/bbs/selectFaqNramtAply.do"]</x:v>
      </x:c>
      <x:c r="J15" s="5" t="str">
        <x:v>["DP-005_chunk_009"]</x:v>
      </x:c>
      <x:c r="K15" s="5" t="str">
        <x:v>[]</x:v>
      </x:c>
      <x:c r="L15" s="5" t="str">
        <x:v>["DP-005_chunk_009"]</x:v>
      </x:c>
      <x:c r="M15" s="7" t="str">
        <x:v>PRIMARY_ONLY</x:v>
      </x:c>
      <x:c r="N15" s="7" t="str">
        <x:v>N</x:v>
      </x:c>
      <x:c r="O15" s="7" t="str">
        <x:v>codex_reviewed_pending_human</x:v>
      </x:c>
      <x:c r="P15" s="47" t="str">
        <x:v>Y</x:v>
      </x:c>
      <x:c r="Q15" s="48" t="b">
        <x:v>1</x:v>
      </x:c>
      <x:c r="R15" s="47" t="str">
        <x:v>clear</x:v>
      </x:c>
      <x:c r="S15" s="47" t="str">
        <x:v>answer</x:v>
      </x:c>
      <x:c r="T15" s="47" t="str"/>
      <x:c r="U15" s="47" t="str">
        <x:v>[]</x:v>
      </x:c>
      <x:c r="V15" s="47" t="str">
        <x:v>["deposit_protection"]</x:v>
      </x:c>
      <x:c r="W15" s="47" t="str">
        <x:v>[]</x:v>
      </x:c>
      <x:c r="X15" s="47" t="str">
        <x:v>[]</x:v>
      </x:c>
      <x:c r="Y15" s="47" t="str">
        <x:v>["DP-005"]</x:v>
      </x:c>
      <x:c r="Z15" s="47" t="str">
        <x:v>["향후 영업정지된 저축은행의 진행사항은 어떻게 되나요?"]</x:v>
      </x:c>
      <x:c r="AA15" s="47" t="str">
        <x:v>질문과 무관한 후순위채권 청크 제거.</x:v>
      </x:c>
      <x:c r="AB15" s="47" t="str">
        <x:v>Codex 1차 검수</x:v>
      </x:c>
      <x:c r="AC15" s="47" t="str">
        <x:v>2026-07-30</x:v>
      </x:c>
      <x:c r="AD15" s="47" t="str">
        <x:v>v1.1_gold_review</x:v>
      </x:c>
    </x:row>
    <x:row r="16" ht="38.099998474121094" customHeight="1">
      <x:c r="A16" s="7" t="str">
        <x:f t="shared" si="0"/>
        <x:v>Y</x:v>
      </x:c>
      <x:c r="B16" s="7" t="s">
        <x:v>77</x:v>
      </x:c>
      <x:c r="C16" s="7" t="s">
        <x:v>78</x:v>
      </x:c>
      <x:c r="D16" s="5" t="s">
        <x:v>79</x:v>
      </x:c>
      <x:c r="E16" s="7" t="str">
        <x:v>예금자보호제도</x:v>
      </x:c>
      <x:c r="F16" s="7" t="s">
        <x:v>18</x:v>
      </x:c>
      <x:c r="G16" s="7" t="s">
        <x:v>71</x:v>
      </x:c>
      <x:c r="H16" s="7" t="s">
        <x:v>72</x:v>
      </x:c>
      <x:c r="I16" s="5" t="str">
        <x:v>["https://fins.kdic.or.kr/cm/bbs/selectFaqNramtAply.do"]</x:v>
      </x:c>
      <x:c r="J16" s="5" t="s">
        <x:v>80</x:v>
      </x:c>
      <x:c r="K16" s="5" t="s">
        <x:v>22</x:v>
      </x:c>
      <x:c r="L16" s="5" t="s">
        <x:v>80</x:v>
      </x:c>
      <x:c r="M16" s="7" t="s">
        <x:v>23</x:v>
      </x:c>
      <x:c r="N16" s="7" t="s">
        <x:v>24</x:v>
      </x:c>
      <x:c r="O16" s="7" t="s">
        <x:v>41</x:v>
      </x:c>
      <x:c r="P16" s="47" t="str">
        <x:v>Y</x:v>
      </x:c>
      <x:c r="Q16" s="48" t="b">
        <x:v>1</x:v>
      </x:c>
      <x:c r="R16" s="47" t="str">
        <x:v>clear</x:v>
      </x:c>
      <x:c r="S16" s="47" t="str">
        <x:v>answer</x:v>
      </x:c>
      <x:c r="T16" s="47" t="str"/>
      <x:c r="U16" s="47" t="str">
        <x:v>[]</x:v>
      </x:c>
      <x:c r="V16" s="47" t="str">
        <x:v>["deposit_protection"]</x:v>
      </x:c>
      <x:c r="W16" s="47" t="str">
        <x:v>[]</x:v>
      </x:c>
      <x:c r="X16" s="47" t="str">
        <x:v>[]</x:v>
      </x:c>
      <x:c r="Y16" s="47" t="str">
        <x:v>["DP-005"]</x:v>
      </x:c>
      <x:c r="Z16" s="47" t="str">
        <x:v>["향후 영업정지된 저축은행의 진행사항은 어떻게 되나요?"]</x:v>
      </x:c>
      <x:c r="AA16" s="47" t="str"/>
      <x:c r="AB16" s="47" t="str">
        <x:v>Codex 1차 검수</x:v>
      </x:c>
      <x:c r="AC16" s="47" t="str">
        <x:v>2026-07-30</x:v>
      </x:c>
      <x:c r="AD16" s="47" t="str">
        <x:v>v1.1_gold_review</x:v>
      </x:c>
    </x:row>
    <x:row r="17" ht="38.099998474121094" customHeight="1">
      <x:c r="A17" s="7" t="str">
        <x:f t="shared" si="0"/>
        <x:v>Y</x:v>
      </x:c>
      <x:c r="B17" s="7" t="s">
        <x:v>81</x:v>
      </x:c>
      <x:c r="C17" s="7" t="s">
        <x:v>82</x:v>
      </x:c>
      <x:c r="D17" s="5" t="s">
        <x:v>83</x:v>
      </x:c>
      <x:c r="E17" s="7" t="str">
        <x:v>예금자보호제도</x:v>
      </x:c>
      <x:c r="F17" s="7" t="s">
        <x:v>18</x:v>
      </x:c>
      <x:c r="G17" s="7" t="s">
        <x:v>19</x:v>
      </x:c>
      <x:c r="H17" s="7" t="s">
        <x:v>72</x:v>
      </x:c>
      <x:c r="I17" s="5" t="str">
        <x:v>["https://www.kdic.or.kr/sp/dpstrprot/ProtSystFaq/selectScrn.do"]</x:v>
      </x:c>
      <x:c r="J17" s="5" t="s">
        <x:v>84</x:v>
      </x:c>
      <x:c r="K17" s="5" t="s">
        <x:v>22</x:v>
      </x:c>
      <x:c r="L17" s="5" t="s">
        <x:v>84</x:v>
      </x:c>
      <x:c r="M17" s="7" t="s">
        <x:v>23</x:v>
      </x:c>
      <x:c r="N17" s="7" t="s">
        <x:v>24</x:v>
      </x:c>
      <x:c r="O17" s="7" t="s">
        <x:v>41</x:v>
      </x:c>
      <x:c r="P17" s="47" t="str">
        <x:v>Y</x:v>
      </x:c>
      <x:c r="Q17" s="48" t="b">
        <x:v>1</x:v>
      </x:c>
      <x:c r="R17" s="47" t="str">
        <x:v>clear</x:v>
      </x:c>
      <x:c r="S17" s="47" t="str">
        <x:v>answer</x:v>
      </x:c>
      <x:c r="T17" s="47" t="str"/>
      <x:c r="U17" s="47" t="str">
        <x:v>[]</x:v>
      </x:c>
      <x:c r="V17" s="47" t="str">
        <x:v>["deposit_protection"]</x:v>
      </x:c>
      <x:c r="W17" s="47" t="str">
        <x:v>[]</x:v>
      </x:c>
      <x:c r="X17" s="47" t="str">
        <x:v>[]</x:v>
      </x:c>
      <x:c r="Y17" s="47" t="str">
        <x:v>["DP-006"]</x:v>
      </x:c>
      <x:c r="Z17" s="47" t="str">
        <x:v>["예금보호한도 1억원은 언제부터 적용되었나요?"]</x:v>
      </x:c>
      <x:c r="AA17" s="47" t="str"/>
      <x:c r="AB17" s="47" t="str">
        <x:v>Codex 1차 검수</x:v>
      </x:c>
      <x:c r="AC17" s="47" t="str">
        <x:v>2026-07-30</x:v>
      </x:c>
      <x:c r="AD17" s="47" t="str">
        <x:v>v1.1_gold_review</x:v>
      </x:c>
    </x:row>
    <x:row r="18" ht="38.099998474121094" customHeight="1">
      <x:c r="A18" s="7" t="str">
        <x:f t="shared" si="0"/>
        <x:v>Y</x:v>
      </x:c>
      <x:c r="B18" s="7" t="s">
        <x:v>85</x:v>
      </x:c>
      <x:c r="C18" s="7" t="s">
        <x:v>86</x:v>
      </x:c>
      <x:c r="D18" s="5" t="s">
        <x:v>87</x:v>
      </x:c>
      <x:c r="E18" s="7" t="str">
        <x:v>예금자보호제도</x:v>
      </x:c>
      <x:c r="F18" s="7" t="s">
        <x:v>18</x:v>
      </x:c>
      <x:c r="G18" s="7" t="s">
        <x:v>19</x:v>
      </x:c>
      <x:c r="H18" s="7" t="s">
        <x:v>72</x:v>
      </x:c>
      <x:c r="I18" s="5" t="str">
        <x:v>["https://www.kdic.or.kr/sp/dpstrprot/ProtSystFaq/selectScrn.do"]</x:v>
      </x:c>
      <x:c r="J18" s="5" t="s">
        <x:v>84</x:v>
      </x:c>
      <x:c r="K18" s="5" t="s">
        <x:v>22</x:v>
      </x:c>
      <x:c r="L18" s="5" t="s">
        <x:v>84</x:v>
      </x:c>
      <x:c r="M18" s="7" t="s">
        <x:v>23</x:v>
      </x:c>
      <x:c r="N18" s="7" t="s">
        <x:v>24</x:v>
      </x:c>
      <x:c r="O18" s="7" t="s">
        <x:v>41</x:v>
      </x:c>
      <x:c r="P18" s="47" t="str">
        <x:v>Y</x:v>
      </x:c>
      <x:c r="Q18" s="48" t="b">
        <x:v>1</x:v>
      </x:c>
      <x:c r="R18" s="47" t="str">
        <x:v>clear</x:v>
      </x:c>
      <x:c r="S18" s="47" t="str">
        <x:v>answer</x:v>
      </x:c>
      <x:c r="T18" s="47" t="str"/>
      <x:c r="U18" s="47" t="str">
        <x:v>[]</x:v>
      </x:c>
      <x:c r="V18" s="47" t="str">
        <x:v>["deposit_protection"]</x:v>
      </x:c>
      <x:c r="W18" s="47" t="str">
        <x:v>[]</x:v>
      </x:c>
      <x:c r="X18" s="47" t="str">
        <x:v>[]</x:v>
      </x:c>
      <x:c r="Y18" s="47" t="str">
        <x:v>["DP-006"]</x:v>
      </x:c>
      <x:c r="Z18" s="47" t="str">
        <x:v>["예금보호한도 1억원은 언제부터 적용되었나요?"]</x:v>
      </x:c>
      <x:c r="AA18" s="47" t="str"/>
      <x:c r="AB18" s="47" t="str">
        <x:v>Codex 1차 검수</x:v>
      </x:c>
      <x:c r="AC18" s="47" t="str">
        <x:v>2026-07-30</x:v>
      </x:c>
      <x:c r="AD18" s="47" t="str">
        <x:v>v1.1_gold_review</x:v>
      </x:c>
    </x:row>
    <x:row r="19" ht="38.099998474121094" customHeight="1">
      <x:c r="A19" s="7" t="str">
        <x:f t="shared" si="0"/>
        <x:v>Y</x:v>
      </x:c>
      <x:c r="B19" s="7" t="s">
        <x:v>88</x:v>
      </x:c>
      <x:c r="C19" s="7" t="s">
        <x:v>89</x:v>
      </x:c>
      <x:c r="D19" s="5" t="s">
        <x:v>90</x:v>
      </x:c>
      <x:c r="E19" s="7" t="str">
        <x:v>예금자보호제도</x:v>
      </x:c>
      <x:c r="F19" s="7" t="s">
        <x:v>18</x:v>
      </x:c>
      <x:c r="G19" s="7" t="s">
        <x:v>32</x:v>
      </x:c>
      <x:c r="H19" s="7" t="s">
        <x:v>91</x:v>
      </x:c>
      <x:c r="I19" s="5" t="str">
        <x:v>["https://www.kdic.or.kr/di/bzpblnt/selectPbcrPblntProtLmtsOvrs.do"]</x:v>
      </x:c>
      <x:c r="J19" s="5" t="s">
        <x:v>92</x:v>
      </x:c>
      <x:c r="K19" s="5" t="s">
        <x:v>93</x:v>
      </x:c>
      <x:c r="L19" s="5" t="s">
        <x:v>94</x:v>
      </x:c>
      <x:c r="M19" s="7" t="s">
        <x:v>23</x:v>
      </x:c>
      <x:c r="N19" s="7" t="s">
        <x:v>24</x:v>
      </x:c>
      <x:c r="O19" s="7" t="s">
        <x:v>41</x:v>
      </x:c>
      <x:c r="P19" s="47" t="str">
        <x:v>Y</x:v>
      </x:c>
      <x:c r="Q19" s="48" t="b">
        <x:v>1</x:v>
      </x:c>
      <x:c r="R19" s="47" t="str">
        <x:v>clear</x:v>
      </x:c>
      <x:c r="S19" s="47" t="str">
        <x:v>answer</x:v>
      </x:c>
      <x:c r="T19" s="47" t="str"/>
      <x:c r="U19" s="47" t="str">
        <x:v>[]</x:v>
      </x:c>
      <x:c r="V19" s="47" t="str">
        <x:v>["deposit_protection"]</x:v>
      </x:c>
      <x:c r="W19" s="47" t="str">
        <x:v>[]</x:v>
      </x:c>
      <x:c r="X19" s="47" t="str">
        <x:v>[]</x:v>
      </x:c>
      <x:c r="Y19" s="47" t="str">
        <x:v>["DP-007"]</x:v>
      </x:c>
      <x:c r="Z19" s="47" t="str">
        <x:v>["예금자보호한도(해외)"]</x:v>
      </x:c>
      <x:c r="AA19" s="47" t="str"/>
      <x:c r="AB19" s="47" t="str">
        <x:v>Codex 1차 검수</x:v>
      </x:c>
      <x:c r="AC19" s="47" t="str">
        <x:v>2026-07-30</x:v>
      </x:c>
      <x:c r="AD19" s="47" t="str">
        <x:v>v1.1_gold_review</x:v>
      </x:c>
    </x:row>
    <x:row r="20" ht="38.099998474121094" customHeight="1">
      <x:c r="A20" s="7" t="str">
        <x:f t="shared" si="0"/>
        <x:v>Y</x:v>
      </x:c>
      <x:c r="B20" s="7" t="s">
        <x:v>95</x:v>
      </x:c>
      <x:c r="C20" s="7" t="s">
        <x:v>96</x:v>
      </x:c>
      <x:c r="D20" s="5" t="s">
        <x:v>97</x:v>
      </x:c>
      <x:c r="E20" s="7" t="str">
        <x:v>예금자보호제도</x:v>
      </x:c>
      <x:c r="F20" s="7" t="s">
        <x:v>18</x:v>
      </x:c>
      <x:c r="G20" s="7" t="s">
        <x:v>32</x:v>
      </x:c>
      <x:c r="H20" s="7" t="s">
        <x:v>91</x:v>
      </x:c>
      <x:c r="I20" s="5" t="str">
        <x:v>["https://www.kdic.or.kr/di/bzpblnt/selectPbcrPblntProtLmtsOvrs.do"]</x:v>
      </x:c>
      <x:c r="J20" s="5" t="s">
        <x:v>92</x:v>
      </x:c>
      <x:c r="K20" s="5" t="s">
        <x:v>22</x:v>
      </x:c>
      <x:c r="L20" s="5" t="s">
        <x:v>92</x:v>
      </x:c>
      <x:c r="M20" s="7" t="s">
        <x:v>23</x:v>
      </x:c>
      <x:c r="N20" s="7" t="s">
        <x:v>24</x:v>
      </x:c>
      <x:c r="O20" s="7" t="s">
        <x:v>41</x:v>
      </x:c>
      <x:c r="P20" s="47" t="str">
        <x:v>Y</x:v>
      </x:c>
      <x:c r="Q20" s="48" t="b">
        <x:v>1</x:v>
      </x:c>
      <x:c r="R20" s="47" t="str">
        <x:v>clear</x:v>
      </x:c>
      <x:c r="S20" s="47" t="str">
        <x:v>answer</x:v>
      </x:c>
      <x:c r="T20" s="47" t="str"/>
      <x:c r="U20" s="47" t="str">
        <x:v>[]</x:v>
      </x:c>
      <x:c r="V20" s="47" t="str">
        <x:v>["deposit_protection"]</x:v>
      </x:c>
      <x:c r="W20" s="47" t="str">
        <x:v>[]</x:v>
      </x:c>
      <x:c r="X20" s="47" t="str">
        <x:v>[]</x:v>
      </x:c>
      <x:c r="Y20" s="47" t="str">
        <x:v>["DP-007"]</x:v>
      </x:c>
      <x:c r="Z20" s="47" t="str">
        <x:v>["예금자보호한도(해외)"]</x:v>
      </x:c>
      <x:c r="AA20" s="47" t="str"/>
      <x:c r="AB20" s="47" t="str">
        <x:v>Codex 1차 검수</x:v>
      </x:c>
      <x:c r="AC20" s="47" t="str">
        <x:v>2026-07-30</x:v>
      </x:c>
      <x:c r="AD20" s="47" t="str">
        <x:v>v1.1_gold_review</x:v>
      </x:c>
    </x:row>
    <x:row r="21" ht="38.099998474121094" customHeight="1">
      <x:c r="A21" s="7" t="str">
        <x:f t="shared" si="0"/>
        <x:v>Y</x:v>
      </x:c>
      <x:c r="B21" s="7" t="s">
        <x:v>98</x:v>
      </x:c>
      <x:c r="C21" s="7" t="s">
        <x:v>99</x:v>
      </x:c>
      <x:c r="D21" s="5" t="s">
        <x:v>100</x:v>
      </x:c>
      <x:c r="E21" s="7" t="str">
        <x:v>예금자보호제도</x:v>
      </x:c>
      <x:c r="F21" s="7" t="s">
        <x:v>18</x:v>
      </x:c>
      <x:c r="G21" s="7" t="s">
        <x:v>19</x:v>
      </x:c>
      <x:c r="H21" s="7" t="s">
        <x:v>72</x:v>
      </x:c>
      <x:c r="I21" s="5" t="str">
        <x:v>["https://www.kdic.or.kr/sp/dpstrprot/ProtSystProtLmts/selectScrn.do"]</x:v>
      </x:c>
      <x:c r="J21" s="5" t="s">
        <x:v>21</x:v>
      </x:c>
      <x:c r="K21" s="5" t="s">
        <x:v>22</x:v>
      </x:c>
      <x:c r="L21" s="5" t="s">
        <x:v>21</x:v>
      </x:c>
      <x:c r="M21" s="7" t="s">
        <x:v>23</x:v>
      </x:c>
      <x:c r="N21" s="7" t="s">
        <x:v>24</x:v>
      </x:c>
      <x:c r="O21" s="7" t="s">
        <x:v>41</x:v>
      </x:c>
      <x:c r="P21" s="47" t="str">
        <x:v>Y</x:v>
      </x:c>
      <x:c r="Q21" s="48" t="b">
        <x:v>1</x:v>
      </x:c>
      <x:c r="R21" s="47" t="str">
        <x:v>clear</x:v>
      </x:c>
      <x:c r="S21" s="47" t="str">
        <x:v>answer</x:v>
      </x:c>
      <x:c r="T21" s="47" t="str"/>
      <x:c r="U21" s="47" t="str">
        <x:v>[]</x:v>
      </x:c>
      <x:c r="V21" s="47" t="str">
        <x:v>["deposit_protection"]</x:v>
      </x:c>
      <x:c r="W21" s="47" t="str">
        <x:v>[]</x:v>
      </x:c>
      <x:c r="X21" s="47" t="str">
        <x:v>[]</x:v>
      </x:c>
      <x:c r="Y21" s="47" t="str">
        <x:v>["DP-001"]</x:v>
      </x:c>
      <x:c r="Z21" s="47" t="str">
        <x:v>["보호한도"]</x:v>
      </x:c>
      <x:c r="AA21" s="47" t="str"/>
      <x:c r="AB21" s="47" t="str">
        <x:v>Codex 1차 검수</x:v>
      </x:c>
      <x:c r="AC21" s="47" t="str">
        <x:v>2026-07-30</x:v>
      </x:c>
      <x:c r="AD21" s="47" t="str">
        <x:v>v1.1_gold_review</x:v>
      </x:c>
    </x:row>
    <x:row r="22" ht="38.099998474121094" customHeight="1">
      <x:c r="A22" s="7" t="str">
        <x:f t="shared" si="0"/>
        <x:v>N</x:v>
      </x:c>
      <x:c r="B22" s="7" t="s">
        <x:v>101</x:v>
      </x:c>
      <x:c r="C22" s="7" t="s">
        <x:v>102</x:v>
      </x:c>
      <x:c r="D22" s="5" t="s">
        <x:v>103</x:v>
      </x:c>
      <x:c r="E22" s="7" t="str">
        <x:v>예금보험금</x:v>
      </x:c>
      <x:c r="F22" s="7" t="s">
        <x:v>104</x:v>
      </x:c>
      <x:c r="G22" s="7" t="s">
        <x:v>32</x:v>
      </x:c>
      <x:c r="H22" s="7" t="s">
        <x:v>20</x:v>
      </x:c>
      <x:c r="I22" s="5" t="str">
        <x:v>[]</x:v>
      </x:c>
      <x:c r="J22" s="5" t="str">
        <x:v>[]</x:v>
      </x:c>
      <x:c r="K22" s="5" t="str">
        <x:v>[]</x:v>
      </x:c>
      <x:c r="L22" s="5" t="str">
        <x:v>[]</x:v>
      </x:c>
      <x:c r="M22" s="7" t="str">
        <x:v>NOT_APPLICABLE</x:v>
      </x:c>
      <x:c r="N22" s="7" t="str">
        <x:v>N</x:v>
      </x:c>
      <x:c r="O22" s="7" t="str">
        <x:v>codex_reviewed_pending_human</x:v>
      </x:c>
      <x:c r="P22" s="47" t="str">
        <x:v>N</x:v>
      </x:c>
      <x:c r="Q22" s="48" t="b">
        <x:v>0</x:v>
      </x:c>
      <x:c r="R22" s="47" t="str">
        <x:v>needs_clarification</x:v>
      </x:c>
      <x:c r="S22" s="47" t="str">
        <x:v>ask_clarification</x:v>
      </x:c>
      <x:c r="T22" s="47" t="str">
        <x:v>누가 예금보험금을 신청하나요?</x:v>
      </x:c>
      <x:c r="U22" s="47" t="str">
        <x:v>["본인","대리인","미성년자 친권자·후견인","상속인"]</x:v>
      </x:c>
      <x:c r="V22" s="47" t="str">
        <x:v>["deposit_insurance_payout"]</x:v>
      </x:c>
      <x:c r="W22" s="47" t="str">
        <x:v>[]</x:v>
      </x:c>
      <x:c r="X22" s="47" t="str">
        <x:v>["BI-001_chunk_000","BI-001_chunk_001","BI-001_chunk_006"]</x:v>
      </x:c>
      <x:c r="Y22" s="47" t="str">
        <x:v>[]</x:v>
      </x:c>
      <x:c r="Z22" s="47" t="str">
        <x:v>[]</x:v>
      </x:c>
      <x:c r="AA22" s="47" t="str">
        <x:v>신청자 역할에 따라 서류가 달라 한 번에 모든 청크를 정답으로 요구하지 않도록 제외.</x:v>
      </x:c>
      <x:c r="AB22" s="47" t="str">
        <x:v>Codex 1차 검수</x:v>
      </x:c>
      <x:c r="AC22" s="47" t="str">
        <x:v>2026-07-30</x:v>
      </x:c>
      <x:c r="AD22" s="47" t="str">
        <x:v>v1.1_gold_review</x:v>
      </x:c>
    </x:row>
    <x:row r="23" ht="38.099998474121094" customHeight="1">
      <x:c r="A23" s="7" t="str">
        <x:f t="shared" si="0"/>
        <x:v>Y</x:v>
      </x:c>
      <x:c r="B23" s="7" t="s">
        <x:v>105</x:v>
      </x:c>
      <x:c r="C23" s="7" t="s">
        <x:v>106</x:v>
      </x:c>
      <x:c r="D23" s="5" t="s">
        <x:v>107</x:v>
      </x:c>
      <x:c r="E23" s="7" t="str">
        <x:v>예금보험금</x:v>
      </x:c>
      <x:c r="F23" s="7" t="s">
        <x:v>104</x:v>
      </x:c>
      <x:c r="G23" s="7" t="s">
        <x:v>71</x:v>
      </x:c>
      <x:c r="H23" s="7" t="s">
        <x:v>20</x:v>
      </x:c>
      <x:c r="I23" s="5" t="str">
        <x:v>["https://www.kdic.or.kr/sp/dpstrprot/DpsmIbamtAplyPossDcmnt/selectScrn.do"]</x:v>
      </x:c>
      <x:c r="J23" s="5" t="s">
        <x:v>108</x:v>
      </x:c>
      <x:c r="K23" s="5" t="s">
        <x:v>22</x:v>
      </x:c>
      <x:c r="L23" s="5" t="s">
        <x:v>108</x:v>
      </x:c>
      <x:c r="M23" s="7" t="s">
        <x:v>23</x:v>
      </x:c>
      <x:c r="N23" s="7" t="s">
        <x:v>24</x:v>
      </x:c>
      <x:c r="O23" s="7" t="s">
        <x:v>25</x:v>
      </x:c>
      <x:c r="P23" s="47" t="str">
        <x:v>Y</x:v>
      </x:c>
      <x:c r="Q23" s="48" t="b">
        <x:v>1</x:v>
      </x:c>
      <x:c r="R23" s="47" t="str">
        <x:v>clear</x:v>
      </x:c>
      <x:c r="S23" s="47" t="str">
        <x:v>answer</x:v>
      </x:c>
      <x:c r="T23" s="47" t="str"/>
      <x:c r="U23" s="47" t="str">
        <x:v>[]</x:v>
      </x:c>
      <x:c r="V23" s="47" t="str">
        <x:v>["deposit_insurance_payout"]</x:v>
      </x:c>
      <x:c r="W23" s="47" t="str">
        <x:v>[]</x:v>
      </x:c>
      <x:c r="X23" s="47" t="str">
        <x:v>[]</x:v>
      </x:c>
      <x:c r="Y23" s="47" t="str">
        <x:v>["BI-001"]</x:v>
      </x:c>
      <x:c r="Z23" s="47" t="str">
        <x:v>["예금자가 미성년자인 경우 : 본인이 아닌 친권자 혹은 후견인이 예금보험금 수령"]</x:v>
      </x:c>
      <x:c r="AA23" s="47" t="str"/>
      <x:c r="AB23" s="47" t="str">
        <x:v>Codex 1차 검수</x:v>
      </x:c>
      <x:c r="AC23" s="47" t="str">
        <x:v>2026-07-30</x:v>
      </x:c>
      <x:c r="AD23" s="47" t="str">
        <x:v>v1.1_gold_review</x:v>
      </x:c>
    </x:row>
    <x:row r="24" ht="38.099998474121094" customHeight="1">
      <x:c r="A24" s="7" t="str">
        <x:f t="shared" si="0"/>
        <x:v>Y</x:v>
      </x:c>
      <x:c r="B24" s="7" t="s">
        <x:v>109</x:v>
      </x:c>
      <x:c r="C24" s="7" t="s">
        <x:v>110</x:v>
      </x:c>
      <x:c r="D24" s="5" t="s">
        <x:v>111</x:v>
      </x:c>
      <x:c r="E24" s="7" t="str">
        <x:v>예금보험금</x:v>
      </x:c>
      <x:c r="F24" s="7" t="s">
        <x:v>104</x:v>
      </x:c>
      <x:c r="G24" s="7" t="s">
        <x:v>71</x:v>
      </x:c>
      <x:c r="H24" s="7" t="s">
        <x:v>20</x:v>
      </x:c>
      <x:c r="I24" s="5" t="str">
        <x:v>["https://www.kdic.or.kr/sp/dpstrprot/DpsmIbamtAplyPossDcmnt/selectScrn.do"]</x:v>
      </x:c>
      <x:c r="J24" s="5" t="s">
        <x:v>112</x:v>
      </x:c>
      <x:c r="K24" s="5" t="s">
        <x:v>22</x:v>
      </x:c>
      <x:c r="L24" s="5" t="s">
        <x:v>112</x:v>
      </x:c>
      <x:c r="M24" s="7" t="s">
        <x:v>23</x:v>
      </x:c>
      <x:c r="N24" s="7" t="s">
        <x:v>24</x:v>
      </x:c>
      <x:c r="O24" s="7" t="s">
        <x:v>25</x:v>
      </x:c>
      <x:c r="P24" s="47" t="str">
        <x:v>Y</x:v>
      </x:c>
      <x:c r="Q24" s="48" t="b">
        <x:v>1</x:v>
      </x:c>
      <x:c r="R24" s="47" t="str">
        <x:v>clear</x:v>
      </x:c>
      <x:c r="S24" s="47" t="str">
        <x:v>answer</x:v>
      </x:c>
      <x:c r="T24" s="47" t="str"/>
      <x:c r="U24" s="47" t="str">
        <x:v>[]</x:v>
      </x:c>
      <x:c r="V24" s="47" t="str">
        <x:v>["deposit_insurance_payout"]</x:v>
      </x:c>
      <x:c r="W24" s="47" t="str">
        <x:v>[]</x:v>
      </x:c>
      <x:c r="X24" s="47" t="str">
        <x:v>[]</x:v>
      </x:c>
      <x:c r="Y24" s="47" t="str">
        <x:v>["BI-001"]</x:v>
      </x:c>
      <x:c r="Z24" s="47" t="str">
        <x:v>["대리인이 찾을 경우"]</x:v>
      </x:c>
      <x:c r="AA24" s="47" t="str"/>
      <x:c r="AB24" s="47" t="str">
        <x:v>Codex 1차 검수</x:v>
      </x:c>
      <x:c r="AC24" s="47" t="str">
        <x:v>2026-07-30</x:v>
      </x:c>
      <x:c r="AD24" s="47" t="str">
        <x:v>v1.1_gold_review</x:v>
      </x:c>
    </x:row>
    <x:row r="25" ht="38.099998474121094" customHeight="1">
      <x:c r="A25" s="7" t="str">
        <x:f t="shared" si="0"/>
        <x:v>Y</x:v>
      </x:c>
      <x:c r="B25" s="7" t="s">
        <x:v>113</x:v>
      </x:c>
      <x:c r="C25" s="7" t="s">
        <x:v>114</x:v>
      </x:c>
      <x:c r="D25" s="5" t="s">
        <x:v>115</x:v>
      </x:c>
      <x:c r="E25" s="7" t="str">
        <x:v>예금보험금</x:v>
      </x:c>
      <x:c r="F25" s="7" t="s">
        <x:v>104</x:v>
      </x:c>
      <x:c r="G25" s="7" t="s">
        <x:v>32</x:v>
      </x:c>
      <x:c r="H25" s="7" t="s">
        <x:v>20</x:v>
      </x:c>
      <x:c r="I25" s="5" t="str">
        <x:v>["https://www.kdic.or.kr/sp/dpstrprot/DpsmIbamtAplyProc/selectScrn.do"]</x:v>
      </x:c>
      <x:c r="J25" s="5" t="s">
        <x:v>116</x:v>
      </x:c>
      <x:c r="K25" s="5" t="s">
        <x:v>22</x:v>
      </x:c>
      <x:c r="L25" s="5" t="s">
        <x:v>116</x:v>
      </x:c>
      <x:c r="M25" s="7" t="s">
        <x:v>117</x:v>
      </x:c>
      <x:c r="N25" s="7" t="s">
        <x:v>40</x:v>
      </x:c>
      <x:c r="O25" s="7" t="s">
        <x:v>25</x:v>
      </x:c>
      <x:c r="P25" s="47" t="str">
        <x:v>Y</x:v>
      </x:c>
      <x:c r="Q25" s="48" t="b">
        <x:v>1</x:v>
      </x:c>
      <x:c r="R25" s="47" t="str">
        <x:v>clear</x:v>
      </x:c>
      <x:c r="S25" s="47" t="str">
        <x:v>answer</x:v>
      </x:c>
      <x:c r="T25" s="47" t="str"/>
      <x:c r="U25" s="47" t="str">
        <x:v>[]</x:v>
      </x:c>
      <x:c r="V25" s="47" t="str">
        <x:v>["deposit_insurance_payout"]</x:v>
      </x:c>
      <x:c r="W25" s="47" t="str">
        <x:v>[]</x:v>
      </x:c>
      <x:c r="X25" s="47" t="str">
        <x:v>[]</x:v>
      </x:c>
      <x:c r="Y25" s="47" t="str">
        <x:v>["BI-002"]</x:v>
      </x:c>
      <x:c r="Z25" s="47" t="str">
        <x:v>["부보금융회사 보험사고 발생","공사 예금보험금 지급 공고 및 안내","예금자의 예금보험금 지급 신청"]</x:v>
      </x:c>
      <x:c r="AA25" s="47" t="str"/>
      <x:c r="AB25" s="47" t="str">
        <x:v>Codex 1차 검수</x:v>
      </x:c>
      <x:c r="AC25" s="47" t="str">
        <x:v>2026-07-30</x:v>
      </x:c>
      <x:c r="AD25" s="47" t="str">
        <x:v>v1.1_gold_review</x:v>
      </x:c>
    </x:row>
    <x:row r="26" ht="38.099998474121094" customHeight="1">
      <x:c r="A26" s="7" t="str">
        <x:f t="shared" si="0"/>
        <x:v>Y</x:v>
      </x:c>
      <x:c r="B26" s="7" t="s">
        <x:v>118</x:v>
      </x:c>
      <x:c r="C26" s="7" t="s">
        <x:v>119</x:v>
      </x:c>
      <x:c r="D26" s="5" t="str">
        <x:v>예금보험금 신청 후 입금까지 얼마나 걸리나요?</x:v>
      </x:c>
      <x:c r="E26" s="7" t="str">
        <x:v>예금보험금</x:v>
      </x:c>
      <x:c r="F26" s="7" t="s">
        <x:v>104</x:v>
      </x:c>
      <x:c r="G26" s="7" t="s">
        <x:v>19</x:v>
      </x:c>
      <x:c r="H26" s="7" t="s">
        <x:v>20</x:v>
      </x:c>
      <x:c r="I26" s="5" t="str">
        <x:v>["https://www.kdic.or.kr/sp/dpstrprot/DpsmIbamtAplyProc/selectScrn.do"]</x:v>
      </x:c>
      <x:c r="J26" s="5" t="str">
        <x:v>["BI-002_chunk_002"]</x:v>
      </x:c>
      <x:c r="K26" s="5" t="str">
        <x:v>[]</x:v>
      </x:c>
      <x:c r="L26" s="5" t="str">
        <x:v>["BI-002_chunk_002"]</x:v>
      </x:c>
      <x:c r="M26" s="7" t="str">
        <x:v>PRIMARY_ONLY</x:v>
      </x:c>
      <x:c r="N26" s="7" t="str">
        <x:v>N</x:v>
      </x:c>
      <x:c r="O26" s="7" t="str">
        <x:v>codex_reviewed_pending_human</x:v>
      </x:c>
      <x:c r="P26" s="47" t="str">
        <x:v>Y</x:v>
      </x:c>
      <x:c r="Q26" s="48" t="b">
        <x:v>1</x:v>
      </x:c>
      <x:c r="R26" s="47" t="str">
        <x:v>clear</x:v>
      </x:c>
      <x:c r="S26" s="47" t="str">
        <x:v>answer</x:v>
      </x:c>
      <x:c r="T26" s="47" t="str"/>
      <x:c r="U26" s="47" t="str">
        <x:v>[]</x:v>
      </x:c>
      <x:c r="V26" s="47" t="str">
        <x:v>["deposit_insurance_payout"]</x:v>
      </x:c>
      <x:c r="W26" s="47" t="str">
        <x:v>[]</x:v>
      </x:c>
      <x:c r="X26" s="47" t="str">
        <x:v>[]</x:v>
      </x:c>
      <x:c r="Y26" s="47" t="str">
        <x:v>["BI-002"]</x:v>
      </x:c>
      <x:c r="Z26" s="47" t="str">
        <x:v>["예금자의 예금보험금 지급 신청"]</x:v>
      </x:c>
      <x:c r="AA26" s="47" t="str">
        <x:v>Gold가 설명하는 범위에 맞게 질문을 '신청 후 입금기간'으로 구체화.</x:v>
      </x:c>
      <x:c r="AB26" s="47" t="str">
        <x:v>Codex 1차 검수</x:v>
      </x:c>
      <x:c r="AC26" s="47" t="str">
        <x:v>2026-07-30</x:v>
      </x:c>
      <x:c r="AD26" s="47" t="str">
        <x:v>v1.1_gold_review</x:v>
      </x:c>
    </x:row>
    <x:row r="27" ht="38.099998474121094" customHeight="1">
      <x:c r="A27" s="7" t="str">
        <x:f t="shared" si="0"/>
        <x:v>Y</x:v>
      </x:c>
      <x:c r="B27" s="7" t="s">
        <x:v>120</x:v>
      </x:c>
      <x:c r="C27" s="7" t="s">
        <x:v>121</x:v>
      </x:c>
      <x:c r="D27" s="5" t="s">
        <x:v>122</x:v>
      </x:c>
      <x:c r="E27" s="7" t="str">
        <x:v>예금보험금</x:v>
      </x:c>
      <x:c r="F27" s="7" t="s">
        <x:v>104</x:v>
      </x:c>
      <x:c r="G27" s="7" t="s">
        <x:v>19</x:v>
      </x:c>
      <x:c r="H27" s="7" t="s">
        <x:v>20</x:v>
      </x:c>
      <x:c r="I27" s="5" t="str">
        <x:v>["https://www.kdic.or.kr/sp/dpstrprot/DpsmIbamtExpln/selectScrn.do"]</x:v>
      </x:c>
      <x:c r="J27" s="5" t="s">
        <x:v>123</x:v>
      </x:c>
      <x:c r="K27" s="5" t="s">
        <x:v>22</x:v>
      </x:c>
      <x:c r="L27" s="5" t="s">
        <x:v>123</x:v>
      </x:c>
      <x:c r="M27" s="7" t="s">
        <x:v>23</x:v>
      </x:c>
      <x:c r="N27" s="7" t="s">
        <x:v>24</x:v>
      </x:c>
      <x:c r="O27" s="7" t="s">
        <x:v>25</x:v>
      </x:c>
      <x:c r="P27" s="47" t="str">
        <x:v>Y</x:v>
      </x:c>
      <x:c r="Q27" s="48" t="b">
        <x:v>1</x:v>
      </x:c>
      <x:c r="R27" s="47" t="str">
        <x:v>clear</x:v>
      </x:c>
      <x:c r="S27" s="47" t="str">
        <x:v>answer</x:v>
      </x:c>
      <x:c r="T27" s="47" t="str"/>
      <x:c r="U27" s="47" t="str">
        <x:v>[]</x:v>
      </x:c>
      <x:c r="V27" s="47" t="str">
        <x:v>["deposit_insurance_payout"]</x:v>
      </x:c>
      <x:c r="W27" s="47" t="str">
        <x:v>[]</x:v>
      </x:c>
      <x:c r="X27" s="47" t="str">
        <x:v>[]</x:v>
      </x:c>
      <x:c r="Y27" s="47" t="str">
        <x:v>["BI-003"]</x:v>
      </x:c>
      <x:c r="Z27" s="47" t="str">
        <x:v>["예금보험금이란?"]</x:v>
      </x:c>
      <x:c r="AA27" s="47" t="str"/>
      <x:c r="AB27" s="47" t="str">
        <x:v>Codex 1차 검수</x:v>
      </x:c>
      <x:c r="AC27" s="47" t="str">
        <x:v>2026-07-30</x:v>
      </x:c>
      <x:c r="AD27" s="47" t="str">
        <x:v>v1.1_gold_review</x:v>
      </x:c>
    </x:row>
    <x:row r="28" ht="38.099998474121094" customHeight="1">
      <x:c r="A28" s="7" t="str">
        <x:f t="shared" si="0"/>
        <x:v>Y</x:v>
      </x:c>
      <x:c r="B28" s="7" t="s">
        <x:v>124</x:v>
      </x:c>
      <x:c r="C28" s="7" t="s">
        <x:v>125</x:v>
      </x:c>
      <x:c r="D28" s="5" t="s">
        <x:v>126</x:v>
      </x:c>
      <x:c r="E28" s="7" t="str">
        <x:v>예금보험금</x:v>
      </x:c>
      <x:c r="F28" s="7" t="s">
        <x:v>104</x:v>
      </x:c>
      <x:c r="G28" s="7" t="s">
        <x:v>32</x:v>
      </x:c>
      <x:c r="H28" s="7" t="s">
        <x:v>20</x:v>
      </x:c>
      <x:c r="I28" s="5" t="str">
        <x:v>["https://www.kdic.or.kr/sp/dpstrprot/DpsmIbamtExpln/selectScrn.do"]</x:v>
      </x:c>
      <x:c r="J28" s="5" t="s">
        <x:v>127</x:v>
      </x:c>
      <x:c r="K28" s="5" t="s">
        <x:v>22</x:v>
      </x:c>
      <x:c r="L28" s="5" t="s">
        <x:v>127</x:v>
      </x:c>
      <x:c r="M28" s="7" t="s">
        <x:v>117</x:v>
      </x:c>
      <x:c r="N28" s="7" t="s">
        <x:v>40</x:v>
      </x:c>
      <x:c r="O28" s="7" t="s">
        <x:v>25</x:v>
      </x:c>
      <x:c r="P28" s="47" t="str">
        <x:v>Y</x:v>
      </x:c>
      <x:c r="Q28" s="48" t="b">
        <x:v>1</x:v>
      </x:c>
      <x:c r="R28" s="47" t="str">
        <x:v>clear</x:v>
      </x:c>
      <x:c r="S28" s="47" t="str">
        <x:v>answer</x:v>
      </x:c>
      <x:c r="T28" s="47" t="str"/>
      <x:c r="U28" s="47" t="str">
        <x:v>[]</x:v>
      </x:c>
      <x:c r="V28" s="47" t="str">
        <x:v>["deposit_insurance_payout"]</x:v>
      </x:c>
      <x:c r="W28" s="47" t="str">
        <x:v>[]</x:v>
      </x:c>
      <x:c r="X28" s="47" t="str">
        <x:v>[]</x:v>
      </x:c>
      <x:c r="Y28" s="47" t="str">
        <x:v>["BI-003"]</x:v>
      </x:c>
      <x:c r="Z28" s="47" t="str">
        <x:v>["가지급금이란?","개산지급금이란?"]</x:v>
      </x:c>
      <x:c r="AA28" s="47" t="str"/>
      <x:c r="AB28" s="47" t="str">
        <x:v>Codex 1차 검수</x:v>
      </x:c>
      <x:c r="AC28" s="47" t="str">
        <x:v>2026-07-30</x:v>
      </x:c>
      <x:c r="AD28" s="47" t="str">
        <x:v>v1.1_gold_review</x:v>
      </x:c>
    </x:row>
    <x:row r="29" ht="38.099998474121094" customHeight="1">
      <x:c r="A29" s="7" t="str">
        <x:f t="shared" si="0"/>
        <x:v>Y</x:v>
      </x:c>
      <x:c r="B29" s="7" t="s">
        <x:v>128</x:v>
      </x:c>
      <x:c r="C29" s="7" t="s">
        <x:v>129</x:v>
      </x:c>
      <x:c r="D29" s="5" t="s">
        <x:v>130</x:v>
      </x:c>
      <x:c r="E29" s="7" t="str">
        <x:v>예금보험금</x:v>
      </x:c>
      <x:c r="F29" s="7" t="s">
        <x:v>104</x:v>
      </x:c>
      <x:c r="G29" s="7" t="s">
        <x:v>71</x:v>
      </x:c>
      <x:c r="H29" s="7" t="s">
        <x:v>72</x:v>
      </x:c>
      <x:c r="I29" s="5" t="str">
        <x:v>["https://www.kdic.or.kr/sp/dpstrprot/selectProtSystBamtGiveTrgtFnst.do","https://www.kdic.or.kr/sp/dpstrprot/DpsmIbamtExpln/selectScrn.do"]</x:v>
      </x:c>
      <x:c r="J29" s="5" t="s">
        <x:v>131</x:v>
      </x:c>
      <x:c r="K29" s="5" t="s">
        <x:v>132</x:v>
      </x:c>
      <x:c r="L29" s="5" t="s">
        <x:v>133</x:v>
      </x:c>
      <x:c r="M29" s="7" t="s">
        <x:v>39</x:v>
      </x:c>
      <x:c r="N29" s="7" t="s">
        <x:v>40</x:v>
      </x:c>
      <x:c r="O29" s="7" t="s">
        <x:v>41</x:v>
      </x:c>
      <x:c r="P29" s="47" t="str">
        <x:v>Y</x:v>
      </x:c>
      <x:c r="Q29" s="48" t="b">
        <x:v>1</x:v>
      </x:c>
      <x:c r="R29" s="47" t="str">
        <x:v>clear</x:v>
      </x:c>
      <x:c r="S29" s="47" t="str">
        <x:v>answer</x:v>
      </x:c>
      <x:c r="T29" s="47" t="str"/>
      <x:c r="U29" s="47" t="str">
        <x:v>[]</x:v>
      </x:c>
      <x:c r="V29" s="47" t="str">
        <x:v>["deposit_insurance_payout"]</x:v>
      </x:c>
      <x:c r="W29" s="47" t="str">
        <x:v>[]</x:v>
      </x:c>
      <x:c r="X29" s="47" t="str">
        <x:v>[]</x:v>
      </x:c>
      <x:c r="Y29" s="47" t="str">
        <x:v>["BI-004","BI-003"]</x:v>
      </x:c>
      <x:c r="Z29" s="47" t="str">
        <x:v>["예금보험금 지급대상 금융회사","인허가취소 · 해산 · 파산의 경우(2종 보험사고)"]</x:v>
      </x:c>
      <x:c r="AA29" s="47" t="str"/>
      <x:c r="AB29" s="47" t="str">
        <x:v>Codex 1차 검수</x:v>
      </x:c>
      <x:c r="AC29" s="47" t="str">
        <x:v>2026-07-30</x:v>
      </x:c>
      <x:c r="AD29" s="47" t="str">
        <x:v>v1.1_gold_review</x:v>
      </x:c>
    </x:row>
    <x:row r="30" ht="38.099998474121094" customHeight="1">
      <x:c r="A30" s="7" t="str">
        <x:f t="shared" si="0"/>
        <x:v>Y</x:v>
      </x:c>
      <x:c r="B30" s="7" t="s">
        <x:v>134</x:v>
      </x:c>
      <x:c r="C30" s="7" t="s">
        <x:v>135</x:v>
      </x:c>
      <x:c r="D30" s="5" t="s">
        <x:v>136</x:v>
      </x:c>
      <x:c r="E30" s="7" t="str">
        <x:v>예금보험금</x:v>
      </x:c>
      <x:c r="F30" s="7" t="s">
        <x:v>104</x:v>
      </x:c>
      <x:c r="G30" s="7" t="s">
        <x:v>32</x:v>
      </x:c>
      <x:c r="H30" s="7" t="s">
        <x:v>72</x:v>
      </x:c>
      <x:c r="I30" s="5" t="str">
        <x:v>["https://www.kdic.or.kr/sp/dpstrprot/selectProtSystBamtGiveTrgtFnst.do"]</x:v>
      </x:c>
      <x:c r="J30" s="5" t="s">
        <x:v>131</x:v>
      </x:c>
      <x:c r="K30" s="5" t="s">
        <x:v>22</x:v>
      </x:c>
      <x:c r="L30" s="5" t="s">
        <x:v>131</x:v>
      </x:c>
      <x:c r="M30" s="7" t="s">
        <x:v>23</x:v>
      </x:c>
      <x:c r="N30" s="7" t="s">
        <x:v>24</x:v>
      </x:c>
      <x:c r="O30" s="7" t="s">
        <x:v>41</x:v>
      </x:c>
      <x:c r="P30" s="47" t="str">
        <x:v>Y</x:v>
      </x:c>
      <x:c r="Q30" s="48" t="b">
        <x:v>1</x:v>
      </x:c>
      <x:c r="R30" s="47" t="str">
        <x:v>clear</x:v>
      </x:c>
      <x:c r="S30" s="47" t="str">
        <x:v>answer</x:v>
      </x:c>
      <x:c r="T30" s="47" t="str"/>
      <x:c r="U30" s="47" t="str">
        <x:v>[]</x:v>
      </x:c>
      <x:c r="V30" s="47" t="str">
        <x:v>["deposit_insurance_payout"]</x:v>
      </x:c>
      <x:c r="W30" s="47" t="str">
        <x:v>[]</x:v>
      </x:c>
      <x:c r="X30" s="47" t="str">
        <x:v>[]</x:v>
      </x:c>
      <x:c r="Y30" s="47" t="str">
        <x:v>["BI-004"]</x:v>
      </x:c>
      <x:c r="Z30" s="47" t="str">
        <x:v>["예금보험금 지급대상 금융회사"]</x:v>
      </x:c>
      <x:c r="AA30" s="47" t="str"/>
      <x:c r="AB30" s="47" t="str">
        <x:v>Codex 1차 검수</x:v>
      </x:c>
      <x:c r="AC30" s="47" t="str">
        <x:v>2026-07-30</x:v>
      </x:c>
      <x:c r="AD30" s="47" t="str">
        <x:v>v1.1_gold_review</x:v>
      </x:c>
    </x:row>
    <x:row r="31" ht="38.099998474121094" customHeight="1">
      <x:c r="A31" s="7" t="str">
        <x:f t="shared" si="0"/>
        <x:v>Y</x:v>
      </x:c>
      <x:c r="B31" s="7" t="s">
        <x:v>137</x:v>
      </x:c>
      <x:c r="C31" s="7" t="s">
        <x:v>138</x:v>
      </x:c>
      <x:c r="D31" s="5" t="s">
        <x:v>139</x:v>
      </x:c>
      <x:c r="E31" s="7" t="str">
        <x:v>예금보험금</x:v>
      </x:c>
      <x:c r="F31" s="7" t="s">
        <x:v>104</x:v>
      </x:c>
      <x:c r="G31" s="7" t="s">
        <x:v>140</x:v>
      </x:c>
      <x:c r="H31" s="7" t="s">
        <x:v>20</x:v>
      </x:c>
      <x:c r="I31" s="5" t="str">
        <x:v>["https://www.kdic.or.kr/sp/dpstrprot/DpsmIbamtAplyProc/selectScrn.do"]</x:v>
      </x:c>
      <x:c r="J31" s="5" t="s">
        <x:v>116</x:v>
      </x:c>
      <x:c r="K31" s="5" t="s">
        <x:v>22</x:v>
      </x:c>
      <x:c r="L31" s="5" t="s">
        <x:v>116</x:v>
      </x:c>
      <x:c r="M31" s="7" t="s">
        <x:v>117</x:v>
      </x:c>
      <x:c r="N31" s="7" t="s">
        <x:v>40</x:v>
      </x:c>
      <x:c r="O31" s="7" t="s">
        <x:v>141</x:v>
      </x:c>
      <x:c r="P31" s="47" t="str">
        <x:v>Y</x:v>
      </x:c>
      <x:c r="Q31" s="48" t="b">
        <x:v>1</x:v>
      </x:c>
      <x:c r="R31" s="47" t="str">
        <x:v>clear</x:v>
      </x:c>
      <x:c r="S31" s="47" t="str">
        <x:v>answer</x:v>
      </x:c>
      <x:c r="T31" s="47" t="str"/>
      <x:c r="U31" s="47" t="str">
        <x:v>[]</x:v>
      </x:c>
      <x:c r="V31" s="47" t="str">
        <x:v>["deposit_insurance_payout"]</x:v>
      </x:c>
      <x:c r="W31" s="47" t="str">
        <x:v>[]</x:v>
      </x:c>
      <x:c r="X31" s="47" t="str">
        <x:v>[]</x:v>
      </x:c>
      <x:c r="Y31" s="47" t="str">
        <x:v>["BI-002"]</x:v>
      </x:c>
      <x:c r="Z31" s="47" t="str">
        <x:v>["부보금융회사 보험사고 발생","공사 예금보험금 지급 공고 및 안내","예금자의 예금보험금 지급 신청"]</x:v>
      </x:c>
      <x:c r="AA31" s="47" t="str"/>
      <x:c r="AB31" s="47" t="str">
        <x:v>Codex 1차 검수</x:v>
      </x:c>
      <x:c r="AC31" s="47" t="str">
        <x:v>2026-07-30</x:v>
      </x:c>
      <x:c r="AD31" s="47" t="str">
        <x:v>v1.1_gold_review</x:v>
      </x:c>
    </x:row>
    <x:row r="32" ht="38.099998474121094" customHeight="1">
      <x:c r="A32" s="7" t="str">
        <x:f t="shared" si="0"/>
        <x:v>Y</x:v>
      </x:c>
      <x:c r="B32" s="7" t="s">
        <x:v>142</x:v>
      </x:c>
      <x:c r="C32" s="7" t="s">
        <x:v>143</x:v>
      </x:c>
      <x:c r="D32" s="5" t="s">
        <x:v>144</x:v>
      </x:c>
      <x:c r="E32" s="7" t="str">
        <x:v>예금보험금</x:v>
      </x:c>
      <x:c r="F32" s="7" t="s">
        <x:v>104</x:v>
      </x:c>
      <x:c r="G32" s="7" t="s">
        <x:v>140</x:v>
      </x:c>
      <x:c r="H32" s="7" t="s">
        <x:v>20</x:v>
      </x:c>
      <x:c r="I32" s="5" t="str">
        <x:v>["https://www.kdic.or.kr/sp/dpstrprot/DpsmIbamtAplyProc/selectScrn.do"]</x:v>
      </x:c>
      <x:c r="J32" s="5" t="s">
        <x:v>145</x:v>
      </x:c>
      <x:c r="K32" s="5" t="s">
        <x:v>146</x:v>
      </x:c>
      <x:c r="L32" s="5" t="s">
        <x:v>147</x:v>
      </x:c>
      <x:c r="M32" s="7" t="s">
        <x:v>39</x:v>
      </x:c>
      <x:c r="N32" s="7" t="s">
        <x:v>40</x:v>
      </x:c>
      <x:c r="O32" s="7" t="s">
        <x:v>141</x:v>
      </x:c>
      <x:c r="P32" s="47" t="str">
        <x:v>Y</x:v>
      </x:c>
      <x:c r="Q32" s="48" t="b">
        <x:v>1</x:v>
      </x:c>
      <x:c r="R32" s="47" t="str">
        <x:v>clear</x:v>
      </x:c>
      <x:c r="S32" s="47" t="str">
        <x:v>answer</x:v>
      </x:c>
      <x:c r="T32" s="47" t="str"/>
      <x:c r="U32" s="47" t="str">
        <x:v>[]</x:v>
      </x:c>
      <x:c r="V32" s="47" t="str">
        <x:v>["deposit_insurance_payout"]</x:v>
      </x:c>
      <x:c r="W32" s="47" t="str">
        <x:v>[]</x:v>
      </x:c>
      <x:c r="X32" s="47" t="str">
        <x:v>[]</x:v>
      </x:c>
      <x:c r="Y32" s="47" t="str">
        <x:v>["BI-002"]</x:v>
      </x:c>
      <x:c r="Z32" s="47" t="str">
        <x:v>["예금자의 예금보험금 지급 신청","공사 예금보험금 지급 공고 및 안내"]</x:v>
      </x:c>
      <x:c r="AA32" s="47" t="str"/>
      <x:c r="AB32" s="47" t="str">
        <x:v>Codex 1차 검수</x:v>
      </x:c>
      <x:c r="AC32" s="47" t="str">
        <x:v>2026-07-30</x:v>
      </x:c>
      <x:c r="AD32" s="47" t="str">
        <x:v>v1.1_gold_review</x:v>
      </x:c>
    </x:row>
    <x:row r="33" ht="38.099998474121094" customHeight="1">
      <x:c r="A33" s="7" t="str">
        <x:f t="shared" si="0"/>
        <x:v>N</x:v>
      </x:c>
      <x:c r="B33" s="7" t="s">
        <x:v>148</x:v>
      </x:c>
      <x:c r="C33" s="7" t="s">
        <x:v>149</x:v>
      </x:c>
      <x:c r="D33" s="5" t="s">
        <x:v>150</x:v>
      </x:c>
      <x:c r="E33" s="7" t="s">
        <x:v>151</x:v>
      </x:c>
      <x:c r="F33" s="7" t="s">
        <x:v>104</x:v>
      </x:c>
      <x:c r="G33" s="7" t="s">
        <x:v>140</x:v>
      </x:c>
      <x:c r="H33" s="7" t="s">
        <x:v>20</x:v>
      </x:c>
      <x:c r="I33" s="5" t="s">
        <x:v>152</x:v>
      </x:c>
      <x:c r="J33" s="5" t="s">
        <x:v>22</x:v>
      </x:c>
      <x:c r="K33" s="5" t="s">
        <x:v>22</x:v>
      </x:c>
      <x:c r="L33" s="5" t="s">
        <x:v>22</x:v>
      </x:c>
      <x:c r="M33" s="7"/>
      <x:c r="N33" s="7" t="s">
        <x:v>24</x:v>
      </x:c>
      <x:c r="O33" s="7" t="s">
        <x:v>141</x:v>
      </x:c>
      <x:c r="P33" s="47"/>
      <x:c r="Q33" s="47"/>
      <x:c r="R33" s="47"/>
      <x:c r="S33" s="47"/>
      <x:c r="T33" s="47"/>
      <x:c r="U33" s="47"/>
      <x:c r="V33" s="47"/>
      <x:c r="W33" s="47"/>
      <x:c r="X33" s="47"/>
      <x:c r="Y33" s="47"/>
      <x:c r="Z33" s="47"/>
      <x:c r="AA33" s="47"/>
      <x:c r="AB33" s="47"/>
      <x:c r="AC33" s="47"/>
      <x:c r="AD33" s="47"/>
    </x:row>
    <x:row r="34" ht="38.099998474121094" customHeight="1">
      <x:c r="A34" s="7" t="str">
        <x:f t="shared" ref="A34:A65" si="1">IF(OR(L34="",L34="[]"),"N","Y")</x:f>
        <x:v>Y</x:v>
      </x:c>
      <x:c r="B34" s="7" t="s">
        <x:v>153</x:v>
      </x:c>
      <x:c r="C34" s="7" t="s">
        <x:v>154</x:v>
      </x:c>
      <x:c r="D34" s="5" t="s">
        <x:v>155</x:v>
      </x:c>
      <x:c r="E34" s="7" t="str">
        <x:v>예금보험금</x:v>
      </x:c>
      <x:c r="F34" s="7" t="s">
        <x:v>104</x:v>
      </x:c>
      <x:c r="G34" s="7" t="s">
        <x:v>140</x:v>
      </x:c>
      <x:c r="H34" s="7" t="s">
        <x:v>20</x:v>
      </x:c>
      <x:c r="I34" s="5" t="str">
        <x:v>["https://www.kdic.or.kr/sp/dpstrprot/DpsmIbamtAplyPossDcmnt/selectScrn.do"]</x:v>
      </x:c>
      <x:c r="J34" s="5" t="s">
        <x:v>112</x:v>
      </x:c>
      <x:c r="K34" s="5" t="s">
        <x:v>156</x:v>
      </x:c>
      <x:c r="L34" s="5" t="s">
        <x:v>157</x:v>
      </x:c>
      <x:c r="M34" s="7" t="s">
        <x:v>39</x:v>
      </x:c>
      <x:c r="N34" s="7" t="s">
        <x:v>40</x:v>
      </x:c>
      <x:c r="O34" s="7" t="s">
        <x:v>141</x:v>
      </x:c>
      <x:c r="P34" s="47" t="str">
        <x:v>Y</x:v>
      </x:c>
      <x:c r="Q34" s="48" t="b">
        <x:v>1</x:v>
      </x:c>
      <x:c r="R34" s="47" t="str">
        <x:v>clear</x:v>
      </x:c>
      <x:c r="S34" s="47" t="str">
        <x:v>answer</x:v>
      </x:c>
      <x:c r="T34" s="47" t="str"/>
      <x:c r="U34" s="47" t="str">
        <x:v>[]</x:v>
      </x:c>
      <x:c r="V34" s="47" t="str">
        <x:v>["deposit_insurance_payout"]</x:v>
      </x:c>
      <x:c r="W34" s="47" t="str">
        <x:v>[]</x:v>
      </x:c>
      <x:c r="X34" s="47" t="str">
        <x:v>[]</x:v>
      </x:c>
      <x:c r="Y34" s="47" t="str">
        <x:v>["BI-001"]</x:v>
      </x:c>
      <x:c r="Z34" s="47" t="str">
        <x:v>["대리인이 찾을 경우","양식 다운로드"]</x:v>
      </x:c>
      <x:c r="AA34" s="47" t="str"/>
      <x:c r="AB34" s="47" t="str">
        <x:v>Codex 1차 검수</x:v>
      </x:c>
      <x:c r="AC34" s="47" t="str">
        <x:v>2026-07-30</x:v>
      </x:c>
      <x:c r="AD34" s="47" t="str">
        <x:v>v1.1_gold_review</x:v>
      </x:c>
    </x:row>
    <x:row r="35" ht="38.099998474121094" customHeight="1">
      <x:c r="A35" s="7" t="str">
        <x:f t="shared" si="1"/>
        <x:v>Y</x:v>
      </x:c>
      <x:c r="B35" s="7" t="s">
        <x:v>158</x:v>
      </x:c>
      <x:c r="C35" s="7" t="s">
        <x:v>159</x:v>
      </x:c>
      <x:c r="D35" s="5" t="s">
        <x:v>160</x:v>
      </x:c>
      <x:c r="E35" s="7" t="str">
        <x:v>예금보험금</x:v>
      </x:c>
      <x:c r="F35" s="7" t="s">
        <x:v>104</x:v>
      </x:c>
      <x:c r="G35" s="7" t="s">
        <x:v>71</x:v>
      </x:c>
      <x:c r="H35" s="7" t="s">
        <x:v>20</x:v>
      </x:c>
      <x:c r="I35" s="5" t="str">
        <x:v>["https://www.kdic.or.kr/sp/dpstrprot/DpsmIbamtAplyPossDcmnt/selectScrn.do"]</x:v>
      </x:c>
      <x:c r="J35" s="5" t="s">
        <x:v>108</x:v>
      </x:c>
      <x:c r="K35" s="5" t="s">
        <x:v>22</x:v>
      </x:c>
      <x:c r="L35" s="5" t="s">
        <x:v>108</x:v>
      </x:c>
      <x:c r="M35" s="7" t="s">
        <x:v>23</x:v>
      </x:c>
      <x:c r="N35" s="7" t="s">
        <x:v>24</x:v>
      </x:c>
      <x:c r="O35" s="7" t="s">
        <x:v>141</x:v>
      </x:c>
      <x:c r="P35" s="47" t="str">
        <x:v>Y</x:v>
      </x:c>
      <x:c r="Q35" s="48" t="b">
        <x:v>1</x:v>
      </x:c>
      <x:c r="R35" s="47" t="str">
        <x:v>clear</x:v>
      </x:c>
      <x:c r="S35" s="47" t="str">
        <x:v>answer</x:v>
      </x:c>
      <x:c r="T35" s="47" t="str"/>
      <x:c r="U35" s="47" t="str">
        <x:v>[]</x:v>
      </x:c>
      <x:c r="V35" s="47" t="str">
        <x:v>["deposit_insurance_payout"]</x:v>
      </x:c>
      <x:c r="W35" s="47" t="str">
        <x:v>[]</x:v>
      </x:c>
      <x:c r="X35" s="47" t="str">
        <x:v>[]</x:v>
      </x:c>
      <x:c r="Y35" s="47" t="str">
        <x:v>["BI-001"]</x:v>
      </x:c>
      <x:c r="Z35" s="47" t="str">
        <x:v>["예금자가 미성년자인 경우 : 본인이 아닌 친권자 혹은 후견인이 예금보험금 수령"]</x:v>
      </x:c>
      <x:c r="AA35" s="47" t="str"/>
      <x:c r="AB35" s="47" t="str">
        <x:v>Codex 1차 검수</x:v>
      </x:c>
      <x:c r="AC35" s="47" t="str">
        <x:v>2026-07-30</x:v>
      </x:c>
      <x:c r="AD35" s="47" t="str">
        <x:v>v1.1_gold_review</x:v>
      </x:c>
    </x:row>
    <x:row r="36" ht="38.099998474121094" customHeight="1">
      <x:c r="A36" s="7" t="str">
        <x:f t="shared" si="1"/>
        <x:v>Y</x:v>
      </x:c>
      <x:c r="B36" s="7" t="s">
        <x:v>161</x:v>
      </x:c>
      <x:c r="C36" s="7" t="s">
        <x:v>162</x:v>
      </x:c>
      <x:c r="D36" s="5" t="s">
        <x:v>163</x:v>
      </x:c>
      <x:c r="E36" s="7" t="str">
        <x:v>예금보험금</x:v>
      </x:c>
      <x:c r="F36" s="7" t="s">
        <x:v>104</x:v>
      </x:c>
      <x:c r="G36" s="7" t="s">
        <x:v>140</x:v>
      </x:c>
      <x:c r="H36" s="7" t="s">
        <x:v>20</x:v>
      </x:c>
      <x:c r="I36" s="5" t="str">
        <x:v>["https://www.kdic.or.kr/sp/dpstrprot/DpsmIbamtAplyPossDcmnt/selectScrn.do"]</x:v>
      </x:c>
      <x:c r="J36" s="5" t="s">
        <x:v>164</x:v>
      </x:c>
      <x:c r="K36" s="5" t="s">
        <x:v>22</x:v>
      </x:c>
      <x:c r="L36" s="5" t="s">
        <x:v>164</x:v>
      </x:c>
      <x:c r="M36" s="7"/>
      <x:c r="N36" s="7" t="s">
        <x:v>24</x:v>
      </x:c>
      <x:c r="O36" s="7" t="s">
        <x:v>141</x:v>
      </x:c>
      <x:c r="P36" s="47" t="str">
        <x:v>Y</x:v>
      </x:c>
      <x:c r="Q36" s="48" t="b">
        <x:v>1</x:v>
      </x:c>
      <x:c r="R36" s="47" t="str">
        <x:v>clear</x:v>
      </x:c>
      <x:c r="S36" s="47" t="str">
        <x:v>answer</x:v>
      </x:c>
      <x:c r="T36" s="47" t="str"/>
      <x:c r="U36" s="47" t="str">
        <x:v>[]</x:v>
      </x:c>
      <x:c r="V36" s="47" t="str">
        <x:v>["deposit_insurance_payout"]</x:v>
      </x:c>
      <x:c r="W36" s="47" t="str">
        <x:v>[]</x:v>
      </x:c>
      <x:c r="X36" s="47" t="str">
        <x:v>[]</x:v>
      </x:c>
      <x:c r="Y36" s="47" t="str">
        <x:v>["BI-001"]</x:v>
      </x:c>
      <x:c r="Z36" s="47" t="str">
        <x:v>["예금자가 사망한 경우"]</x:v>
      </x:c>
      <x:c r="AA36" s="47" t="str"/>
      <x:c r="AB36" s="47" t="str">
        <x:v>Codex 1차 검수</x:v>
      </x:c>
      <x:c r="AC36" s="47" t="str">
        <x:v>2026-07-30</x:v>
      </x:c>
      <x:c r="AD36" s="47" t="str">
        <x:v>v1.1_gold_review</x:v>
      </x:c>
    </x:row>
    <x:row r="37" ht="38.099998474121094" customHeight="1">
      <x:c r="A37" s="7" t="str">
        <x:f t="shared" si="1"/>
        <x:v>Y</x:v>
      </x:c>
      <x:c r="B37" s="7" t="s">
        <x:v>165</x:v>
      </x:c>
      <x:c r="C37" s="7" t="s">
        <x:v>166</x:v>
      </x:c>
      <x:c r="D37" s="5" t="s">
        <x:v>167</x:v>
      </x:c>
      <x:c r="E37" s="7" t="str">
        <x:v>예금보험금</x:v>
      </x:c>
      <x:c r="F37" s="7" t="s">
        <x:v>104</x:v>
      </x:c>
      <x:c r="G37" s="7" t="s">
        <x:v>71</x:v>
      </x:c>
      <x:c r="H37" s="7" t="s">
        <x:v>72</x:v>
      </x:c>
      <x:c r="I37" s="5" t="str">
        <x:v>["https://www.kdic.or.kr/sp/dpstrprot/DpsmIbamtAplyPossDcmnt/selectScrn.do"]</x:v>
      </x:c>
      <x:c r="J37" s="5" t="s">
        <x:v>168</x:v>
      </x:c>
      <x:c r="K37" s="5" t="s">
        <x:v>22</x:v>
      </x:c>
      <x:c r="L37" s="5" t="s">
        <x:v>168</x:v>
      </x:c>
      <x:c r="M37" s="7"/>
      <x:c r="N37" s="7" t="s">
        <x:v>24</x:v>
      </x:c>
      <x:c r="O37" s="7" t="s">
        <x:v>141</x:v>
      </x:c>
      <x:c r="P37" s="47" t="str">
        <x:v>Y</x:v>
      </x:c>
      <x:c r="Q37" s="48" t="b">
        <x:v>1</x:v>
      </x:c>
      <x:c r="R37" s="47" t="str">
        <x:v>clear</x:v>
      </x:c>
      <x:c r="S37" s="47" t="str">
        <x:v>answer</x:v>
      </x:c>
      <x:c r="T37" s="47" t="str"/>
      <x:c r="U37" s="47" t="str">
        <x:v>[]</x:v>
      </x:c>
      <x:c r="V37" s="47" t="str">
        <x:v>["deposit_insurance_payout"]</x:v>
      </x:c>
      <x:c r="W37" s="47" t="str">
        <x:v>[]</x:v>
      </x:c>
      <x:c r="X37" s="47" t="str">
        <x:v>[]</x:v>
      </x:c>
      <x:c r="Y37" s="47" t="str">
        <x:v>["BI-001"]</x:v>
      </x:c>
      <x:c r="Z37" s="47" t="str">
        <x:v>["예금자가 국외거주 외국인, 유학생, 상사주재원인 경우"]</x:v>
      </x:c>
      <x:c r="AA37" s="47" t="str"/>
      <x:c r="AB37" s="47" t="str">
        <x:v>Codex 1차 검수</x:v>
      </x:c>
      <x:c r="AC37" s="47" t="str">
        <x:v>2026-07-30</x:v>
      </x:c>
      <x:c r="AD37" s="47" t="str">
        <x:v>v1.1_gold_review</x:v>
      </x:c>
    </x:row>
    <x:row r="38" ht="38.099998474121094" customHeight="1">
      <x:c r="A38" s="7" t="str">
        <x:f t="shared" si="1"/>
        <x:v>Y</x:v>
      </x:c>
      <x:c r="B38" s="7" t="s">
        <x:v>169</x:v>
      </x:c>
      <x:c r="C38" s="7" t="s">
        <x:v>170</x:v>
      </x:c>
      <x:c r="D38" s="5" t="s">
        <x:v>171</x:v>
      </x:c>
      <x:c r="E38" s="7" t="str">
        <x:v>예금보험금</x:v>
      </x:c>
      <x:c r="F38" s="7" t="s">
        <x:v>104</x:v>
      </x:c>
      <x:c r="G38" s="7" t="s">
        <x:v>71</x:v>
      </x:c>
      <x:c r="H38" s="7" t="s">
        <x:v>20</x:v>
      </x:c>
      <x:c r="I38" s="5" t="str">
        <x:v>["https://www.kdic.or.kr/sp/dpstrprot/DpsmIbamtAplyProc/selectScrn.do","https://www.kdic.or.kr/sp/dpstrprot/DpsmIbamtExpln/selectScrn.do"]</x:v>
      </x:c>
      <x:c r="J38" s="5" t="str">
        <x:v>["BI-002_chunk_002"]</x:v>
      </x:c>
      <x:c r="K38" s="5" t="str">
        <x:v>["BI-003_chunk_008"]</x:v>
      </x:c>
      <x:c r="L38" s="5" t="str">
        <x:v>["BI-002_chunk_002","BI-003_chunk_008"]</x:v>
      </x:c>
      <x:c r="M38" s="7" t="str">
        <x:v>PRIMARY_ONLY</x:v>
      </x:c>
      <x:c r="N38" s="7" t="str">
        <x:v>N</x:v>
      </x:c>
      <x:c r="O38" s="7" t="str">
        <x:v>codex_reviewed_pending_human</x:v>
      </x:c>
      <x:c r="P38" s="47" t="str">
        <x:v>Y</x:v>
      </x:c>
      <x:c r="Q38" s="48" t="b">
        <x:v>1</x:v>
      </x:c>
      <x:c r="R38" s="47" t="str">
        <x:v>clear</x:v>
      </x:c>
      <x:c r="S38" s="47" t="str">
        <x:v>answer</x:v>
      </x:c>
      <x:c r="T38" s="47" t="str"/>
      <x:c r="U38" s="47" t="str">
        <x:v>[]</x:v>
      </x:c>
      <x:c r="V38" s="47" t="str">
        <x:v>["deposit_insurance_payout"]</x:v>
      </x:c>
      <x:c r="W38" s="47" t="str">
        <x:v>[]</x:v>
      </x:c>
      <x:c r="X38" s="47" t="str">
        <x:v>[]</x:v>
      </x:c>
      <x:c r="Y38" s="47" t="str">
        <x:v>["BI-002","BI-003"]</x:v>
      </x:c>
      <x:c r="Z38" s="47" t="str">
        <x:v>["예금자의 예금보험금 지급 신청","신청안내"]</x:v>
      </x:c>
      <x:c r="AA38" s="47" t="str">
        <x:v>온라인·방문 신청을 직접 설명하는 청크를 Primary로 단순화.</x:v>
      </x:c>
      <x:c r="AB38" s="47" t="str">
        <x:v>Codex 1차 검수</x:v>
      </x:c>
      <x:c r="AC38" s="47" t="str">
        <x:v>2026-07-30</x:v>
      </x:c>
      <x:c r="AD38" s="47" t="str">
        <x:v>v1.1_gold_review</x:v>
      </x:c>
    </x:row>
    <x:row r="39" ht="38.099998474121094" customHeight="1">
      <x:c r="A39" s="7" t="str">
        <x:f t="shared" si="1"/>
        <x:v>Y</x:v>
      </x:c>
      <x:c r="B39" s="7" t="s">
        <x:v>172</x:v>
      </x:c>
      <x:c r="C39" s="7" t="s">
        <x:v>173</x:v>
      </x:c>
      <x:c r="D39" s="5" t="s">
        <x:v>174</x:v>
      </x:c>
      <x:c r="E39" s="7" t="str">
        <x:v>예금보험금</x:v>
      </x:c>
      <x:c r="F39" s="7" t="s">
        <x:v>104</x:v>
      </x:c>
      <x:c r="G39" s="7" t="s">
        <x:v>140</x:v>
      </x:c>
      <x:c r="H39" s="7" t="s">
        <x:v>72</x:v>
      </x:c>
      <x:c r="I39" s="5" t="str">
        <x:v>["https://www.kdic.or.kr/sp/dpstrprot/DpsmIbamtExpln/selectScrn.do"]</x:v>
      </x:c>
      <x:c r="J39" s="5" t="s">
        <x:v>175</x:v>
      </x:c>
      <x:c r="K39" s="5" t="s">
        <x:v>22</x:v>
      </x:c>
      <x:c r="L39" s="5" t="s">
        <x:v>175</x:v>
      </x:c>
      <x:c r="M39" s="7" t="s">
        <x:v>23</x:v>
      </x:c>
      <x:c r="N39" s="7" t="s">
        <x:v>24</x:v>
      </x:c>
      <x:c r="O39" s="7" t="s">
        <x:v>141</x:v>
      </x:c>
      <x:c r="P39" s="47" t="str">
        <x:v>Y</x:v>
      </x:c>
      <x:c r="Q39" s="48" t="b">
        <x:v>1</x:v>
      </x:c>
      <x:c r="R39" s="47" t="str">
        <x:v>clear</x:v>
      </x:c>
      <x:c r="S39" s="47" t="str">
        <x:v>answer</x:v>
      </x:c>
      <x:c r="T39" s="47" t="str"/>
      <x:c r="U39" s="47" t="str">
        <x:v>[]</x:v>
      </x:c>
      <x:c r="V39" s="47" t="str">
        <x:v>["deposit_insurance_payout"]</x:v>
      </x:c>
      <x:c r="W39" s="47" t="str">
        <x:v>[]</x:v>
      </x:c>
      <x:c r="X39" s="47" t="str">
        <x:v>[]</x:v>
      </x:c>
      <x:c r="Y39" s="47" t="str">
        <x:v>["BI-003"]</x:v>
      </x:c>
      <x:c r="Z39" s="47" t="str">
        <x:v>["가지급금이란?"]</x:v>
      </x:c>
      <x:c r="AA39" s="47" t="str"/>
      <x:c r="AB39" s="47" t="str">
        <x:v>Codex 1차 검수</x:v>
      </x:c>
      <x:c r="AC39" s="47" t="str">
        <x:v>2026-07-30</x:v>
      </x:c>
      <x:c r="AD39" s="47" t="str">
        <x:v>v1.1_gold_review</x:v>
      </x:c>
    </x:row>
    <x:row r="40" ht="38.099998474121094" customHeight="1">
      <x:c r="A40" s="7" t="str">
        <x:f t="shared" si="1"/>
        <x:v>Y</x:v>
      </x:c>
      <x:c r="B40" s="7" t="s">
        <x:v>176</x:v>
      </x:c>
      <x:c r="C40" s="7" t="s">
        <x:v>177</x:v>
      </x:c>
      <x:c r="D40" s="5" t="s">
        <x:v>178</x:v>
      </x:c>
      <x:c r="E40" s="7" t="str">
        <x:v>예금보험금</x:v>
      </x:c>
      <x:c r="F40" s="7" t="s">
        <x:v>104</x:v>
      </x:c>
      <x:c r="G40" s="7" t="s">
        <x:v>140</x:v>
      </x:c>
      <x:c r="H40" s="7" t="s">
        <x:v>20</x:v>
      </x:c>
      <x:c r="I40" s="5" t="str">
        <x:v>["https://www.kdic.or.kr/sp/dpstrprot/DpsmIbamtAplyProc/selectScrn.do"]</x:v>
      </x:c>
      <x:c r="J40" s="5" t="s">
        <x:v>179</x:v>
      </x:c>
      <x:c r="K40" s="5" t="s">
        <x:v>22</x:v>
      </x:c>
      <x:c r="L40" s="5" t="s">
        <x:v>179</x:v>
      </x:c>
      <x:c r="M40" s="7" t="s">
        <x:v>117</x:v>
      </x:c>
      <x:c r="N40" s="7" t="s">
        <x:v>40</x:v>
      </x:c>
      <x:c r="O40" s="7" t="s">
        <x:v>41</x:v>
      </x:c>
      <x:c r="P40" s="47" t="str">
        <x:v>Y</x:v>
      </x:c>
      <x:c r="Q40" s="48" t="b">
        <x:v>1</x:v>
      </x:c>
      <x:c r="R40" s="47" t="str">
        <x:v>clear</x:v>
      </x:c>
      <x:c r="S40" s="47" t="str">
        <x:v>answer</x:v>
      </x:c>
      <x:c r="T40" s="47" t="str"/>
      <x:c r="U40" s="47" t="str">
        <x:v>[]</x:v>
      </x:c>
      <x:c r="V40" s="47" t="str">
        <x:v>["deposit_insurance_payout"]</x:v>
      </x:c>
      <x:c r="W40" s="47" t="str">
        <x:v>[]</x:v>
      </x:c>
      <x:c r="X40" s="47" t="str">
        <x:v>[]</x:v>
      </x:c>
      <x:c r="Y40" s="47" t="str">
        <x:v>["BI-002"]</x:v>
      </x:c>
      <x:c r="Z40" s="47" t="str">
        <x:v>["공사 예금보험금 지급 공고 및 안내","예금자의 예금보험금 지급 신청"]</x:v>
      </x:c>
      <x:c r="AA40" s="47" t="str"/>
      <x:c r="AB40" s="47" t="str">
        <x:v>Codex 1차 검수</x:v>
      </x:c>
      <x:c r="AC40" s="47" t="str">
        <x:v>2026-07-30</x:v>
      </x:c>
      <x:c r="AD40" s="47" t="str">
        <x:v>v1.1_gold_review</x:v>
      </x:c>
    </x:row>
    <x:row r="41" ht="38.099998474121094" customHeight="1">
      <x:c r="A41" s="7" t="str">
        <x:f t="shared" si="1"/>
        <x:v>Y</x:v>
      </x:c>
      <x:c r="B41" s="7" t="s">
        <x:v>180</x:v>
      </x:c>
      <x:c r="C41" s="7" t="s">
        <x:v>138</x:v>
      </x:c>
      <x:c r="D41" s="5" t="s">
        <x:v>181</x:v>
      </x:c>
      <x:c r="E41" s="7" t="str">
        <x:v>고객 미수령금</x:v>
      </x:c>
      <x:c r="F41" s="7" t="s">
        <x:v>182</x:v>
      </x:c>
      <x:c r="G41" s="7" t="s">
        <x:v>19</x:v>
      </x:c>
      <x:c r="H41" s="7" t="s">
        <x:v>20</x:v>
      </x:c>
      <x:c r="I41" s="5" t="str">
        <x:v>["https://www.kdic.or.kr/sp/dpstrprot/ProtSystNramtInqAplyNramtGudn/selectScrn.do"]</x:v>
      </x:c>
      <x:c r="J41" s="5" t="s">
        <x:v>183</x:v>
      </x:c>
      <x:c r="K41" s="5" t="s">
        <x:v>22</x:v>
      </x:c>
      <x:c r="L41" s="5" t="s">
        <x:v>183</x:v>
      </x:c>
      <x:c r="M41" s="7" t="s">
        <x:v>23</x:v>
      </x:c>
      <x:c r="N41" s="7" t="s">
        <x:v>24</x:v>
      </x:c>
      <x:c r="O41" s="7" t="s">
        <x:v>25</x:v>
      </x:c>
      <x:c r="P41" s="47" t="str">
        <x:v>Y</x:v>
      </x:c>
      <x:c r="Q41" s="48" t="b">
        <x:v>1</x:v>
      </x:c>
      <x:c r="R41" s="47" t="str">
        <x:v>clear</x:v>
      </x:c>
      <x:c r="S41" s="47" t="str">
        <x:v>answer</x:v>
      </x:c>
      <x:c r="T41" s="47" t="str"/>
      <x:c r="U41" s="47" t="str">
        <x:v>[]</x:v>
      </x:c>
      <x:c r="V41" s="47" t="str">
        <x:v>["unclaimed_funds"]</x:v>
      </x:c>
      <x:c r="W41" s="47" t="str">
        <x:v>[]</x:v>
      </x:c>
      <x:c r="X41" s="47" t="str">
        <x:v>[]</x:v>
      </x:c>
      <x:c r="Y41" s="47" t="str">
        <x:v>["UN-001"]</x:v>
      </x:c>
      <x:c r="Z41" s="47" t="str">
        <x:v>["고객 미수령금이란?"]</x:v>
      </x:c>
      <x:c r="AA41" s="47" t="str"/>
      <x:c r="AB41" s="47" t="str">
        <x:v>Codex 1차 검수</x:v>
      </x:c>
      <x:c r="AC41" s="47" t="str">
        <x:v>2026-07-30</x:v>
      </x:c>
      <x:c r="AD41" s="47" t="str">
        <x:v>v1.1_gold_review</x:v>
      </x:c>
    </x:row>
    <x:row r="42" ht="38.099998474121094" customHeight="1">
      <x:c r="A42" s="7" t="str">
        <x:f t="shared" si="1"/>
        <x:v>Y</x:v>
      </x:c>
      <x:c r="B42" s="7" t="s">
        <x:v>184</x:v>
      </x:c>
      <x:c r="C42" s="7" t="s">
        <x:v>143</x:v>
      </x:c>
      <x:c r="D42" s="5" t="s">
        <x:v>185</x:v>
      </x:c>
      <x:c r="E42" s="7" t="str">
        <x:v>고객 미수령금</x:v>
      </x:c>
      <x:c r="F42" s="7" t="s">
        <x:v>182</x:v>
      </x:c>
      <x:c r="G42" s="7" t="s">
        <x:v>19</x:v>
      </x:c>
      <x:c r="H42" s="7" t="s">
        <x:v>20</x:v>
      </x:c>
      <x:c r="I42" s="5" t="str">
        <x:v>["https://fins.kdic.or.kr/ua/aplygudn/NramtItgrAplyItrdMthdGudn/selectScrn.do"]</x:v>
      </x:c>
      <x:c r="J42" s="5" t="s">
        <x:v>186</x:v>
      </x:c>
      <x:c r="K42" s="5" t="s">
        <x:v>22</x:v>
      </x:c>
      <x:c r="L42" s="5" t="s">
        <x:v>186</x:v>
      </x:c>
      <x:c r="M42" s="7" t="s">
        <x:v>23</x:v>
      </x:c>
      <x:c r="N42" s="7" t="s">
        <x:v>24</x:v>
      </x:c>
      <x:c r="O42" s="7" t="s">
        <x:v>25</x:v>
      </x:c>
      <x:c r="P42" s="47" t="str">
        <x:v>Y</x:v>
      </x:c>
      <x:c r="Q42" s="48" t="b">
        <x:v>1</x:v>
      </x:c>
      <x:c r="R42" s="47" t="str">
        <x:v>clear</x:v>
      </x:c>
      <x:c r="S42" s="47" t="str">
        <x:v>answer</x:v>
      </x:c>
      <x:c r="T42" s="47" t="str"/>
      <x:c r="U42" s="47" t="str">
        <x:v>[]</x:v>
      </x:c>
      <x:c r="V42" s="47" t="str">
        <x:v>["unclaimed_funds"]</x:v>
      </x:c>
      <x:c r="W42" s="47" t="str">
        <x:v>[]</x:v>
      </x:c>
      <x:c r="X42" s="47" t="str">
        <x:v>[]</x:v>
      </x:c>
      <x:c r="Y42" s="47" t="str">
        <x:v>["UN-003"]</x:v>
      </x:c>
      <x:c r="Z42" s="47" t="str">
        <x:v>["(온라인) 금융안심포털에서 미수령금통합신청"]</x:v>
      </x:c>
      <x:c r="AA42" s="47" t="str"/>
      <x:c r="AB42" s="47" t="str">
        <x:v>Codex 1차 검수</x:v>
      </x:c>
      <x:c r="AC42" s="47" t="str">
        <x:v>2026-07-30</x:v>
      </x:c>
      <x:c r="AD42" s="47" t="str">
        <x:v>v1.1_gold_review</x:v>
      </x:c>
    </x:row>
    <x:row r="43" ht="38.099998474121094" customHeight="1">
      <x:c r="A43" s="7" t="str">
        <x:f t="shared" si="1"/>
        <x:v>Y</x:v>
      </x:c>
      <x:c r="B43" s="7" t="s">
        <x:v>187</x:v>
      </x:c>
      <x:c r="C43" s="7" t="s">
        <x:v>149</x:v>
      </x:c>
      <x:c r="D43" s="5" t="s">
        <x:v>188</x:v>
      </x:c>
      <x:c r="E43" s="7" t="str">
        <x:v>고객 미수령금</x:v>
      </x:c>
      <x:c r="F43" s="7" t="s">
        <x:v>182</x:v>
      </x:c>
      <x:c r="G43" s="7" t="s">
        <x:v>19</x:v>
      </x:c>
      <x:c r="H43" s="7" t="s">
        <x:v>20</x:v>
      </x:c>
      <x:c r="I43" s="5" t="str">
        <x:v>["https://fins.kdic.or.kr/ua/aplygudn/NramtItgrAplyItrdMthdGudn/selectScrn.do"]</x:v>
      </x:c>
      <x:c r="J43" s="5" t="s">
        <x:v>189</x:v>
      </x:c>
      <x:c r="K43" s="5" t="s">
        <x:v>22</x:v>
      </x:c>
      <x:c r="L43" s="5" t="s">
        <x:v>189</x:v>
      </x:c>
      <x:c r="M43" s="7" t="s">
        <x:v>23</x:v>
      </x:c>
      <x:c r="N43" s="7" t="s">
        <x:v>24</x:v>
      </x:c>
      <x:c r="O43" s="7" t="s">
        <x:v>25</x:v>
      </x:c>
      <x:c r="P43" s="47" t="str">
        <x:v>Y</x:v>
      </x:c>
      <x:c r="Q43" s="48" t="b">
        <x:v>1</x:v>
      </x:c>
      <x:c r="R43" s="47" t="str">
        <x:v>clear</x:v>
      </x:c>
      <x:c r="S43" s="47" t="str">
        <x:v>answer</x:v>
      </x:c>
      <x:c r="T43" s="47" t="str"/>
      <x:c r="U43" s="47" t="str">
        <x:v>[]</x:v>
      </x:c>
      <x:c r="V43" s="47" t="str">
        <x:v>["unclaimed_funds"]</x:v>
      </x:c>
      <x:c r="W43" s="47" t="str">
        <x:v>[]</x:v>
      </x:c>
      <x:c r="X43" s="47" t="str">
        <x:v>[]</x:v>
      </x:c>
      <x:c r="Y43" s="47" t="str">
        <x:v>["UN-003"]</x:v>
      </x:c>
      <x:c r="Z43" s="47" t="str">
        <x:v>["(오프라인) 지급대행점 직접 방문"]</x:v>
      </x:c>
      <x:c r="AA43" s="47" t="str"/>
      <x:c r="AB43" s="47" t="str">
        <x:v>Codex 1차 검수</x:v>
      </x:c>
      <x:c r="AC43" s="47" t="str">
        <x:v>2026-07-30</x:v>
      </x:c>
      <x:c r="AD43" s="47" t="str">
        <x:v>v1.1_gold_review</x:v>
      </x:c>
    </x:row>
    <x:row r="44" ht="38.099998474121094" customHeight="1">
      <x:c r="A44" s="7" t="str">
        <x:f t="shared" si="1"/>
        <x:v>Y</x:v>
      </x:c>
      <x:c r="B44" s="7" t="s">
        <x:v>190</x:v>
      </x:c>
      <x:c r="C44" s="7" t="s">
        <x:v>154</x:v>
      </x:c>
      <x:c r="D44" s="5" t="s">
        <x:v>191</x:v>
      </x:c>
      <x:c r="E44" s="7" t="str">
        <x:v>고객 미수령금</x:v>
      </x:c>
      <x:c r="F44" s="7" t="s">
        <x:v>182</x:v>
      </x:c>
      <x:c r="G44" s="7" t="s">
        <x:v>71</x:v>
      </x:c>
      <x:c r="H44" s="7" t="s">
        <x:v>72</x:v>
      </x:c>
      <x:c r="I44" s="5" t="str">
        <x:v>["https://fins.kdic.or.kr/ua/aplygudn/DpstrTrgtTelQustGudn/selectScrn.do"]</x:v>
      </x:c>
      <x:c r="J44" s="5" t="s">
        <x:v>192</x:v>
      </x:c>
      <x:c r="K44" s="5" t="s">
        <x:v>22</x:v>
      </x:c>
      <x:c r="L44" s="5" t="s">
        <x:v>192</x:v>
      </x:c>
      <x:c r="M44" s="7" t="s">
        <x:v>23</x:v>
      </x:c>
      <x:c r="N44" s="7" t="s">
        <x:v>24</x:v>
      </x:c>
      <x:c r="O44" s="7" t="s">
        <x:v>25</x:v>
      </x:c>
      <x:c r="P44" s="47" t="str">
        <x:v>Y</x:v>
      </x:c>
      <x:c r="Q44" s="48" t="b">
        <x:v>1</x:v>
      </x:c>
      <x:c r="R44" s="47" t="str">
        <x:v>clear</x:v>
      </x:c>
      <x:c r="S44" s="47" t="str">
        <x:v>answer</x:v>
      </x:c>
      <x:c r="T44" s="47" t="str"/>
      <x:c r="U44" s="47" t="str">
        <x:v>[]</x:v>
      </x:c>
      <x:c r="V44" s="47" t="str">
        <x:v>["unclaimed_funds"]</x:v>
      </x:c>
      <x:c r="W44" s="47" t="str">
        <x:v>[]</x:v>
      </x:c>
      <x:c r="X44" s="47" t="str">
        <x:v>[]</x:v>
      </x:c>
      <x:c r="Y44" s="47" t="str">
        <x:v>["UN-002"]</x:v>
      </x:c>
      <x:c r="Z44" s="47" t="str">
        <x:v>["예금자 대상 전화문의 안내"]</x:v>
      </x:c>
      <x:c r="AA44" s="47" t="str"/>
      <x:c r="AB44" s="47" t="str">
        <x:v>Codex 1차 검수</x:v>
      </x:c>
      <x:c r="AC44" s="47" t="str">
        <x:v>2026-07-30</x:v>
      </x:c>
      <x:c r="AD44" s="47" t="str">
        <x:v>v1.1_gold_review</x:v>
      </x:c>
    </x:row>
    <x:row r="45" ht="38.099998474121094" customHeight="1">
      <x:c r="A45" s="7" t="str">
        <x:f t="shared" si="1"/>
        <x:v>Y</x:v>
      </x:c>
      <x:c r="B45" s="7" t="s">
        <x:v>193</x:v>
      </x:c>
      <x:c r="C45" s="7" t="s">
        <x:v>159</x:v>
      </x:c>
      <x:c r="D45" s="5" t="s">
        <x:v>194</x:v>
      </x:c>
      <x:c r="E45" s="7" t="str">
        <x:v>고객 미수령금</x:v>
      </x:c>
      <x:c r="F45" s="7" t="s">
        <x:v>182</x:v>
      </x:c>
      <x:c r="G45" s="7" t="s">
        <x:v>19</x:v>
      </x:c>
      <x:c r="H45" s="7" t="s">
        <x:v>72</x:v>
      </x:c>
      <x:c r="I45" s="5" t="str">
        <x:v>["https://fins.kdic.or.kr/ua/aplygudn/DpstrTrgtTelQustGudn/selectScrn.do"]</x:v>
      </x:c>
      <x:c r="J45" s="5" t="s">
        <x:v>192</x:v>
      </x:c>
      <x:c r="K45" s="5" t="s">
        <x:v>22</x:v>
      </x:c>
      <x:c r="L45" s="5" t="s">
        <x:v>192</x:v>
      </x:c>
      <x:c r="M45" s="7" t="s">
        <x:v>23</x:v>
      </x:c>
      <x:c r="N45" s="7" t="s">
        <x:v>24</x:v>
      </x:c>
      <x:c r="O45" s="7" t="s">
        <x:v>25</x:v>
      </x:c>
      <x:c r="P45" s="47" t="str">
        <x:v>Y</x:v>
      </x:c>
      <x:c r="Q45" s="48" t="b">
        <x:v>1</x:v>
      </x:c>
      <x:c r="R45" s="47" t="str">
        <x:v>clear</x:v>
      </x:c>
      <x:c r="S45" s="47" t="str">
        <x:v>answer</x:v>
      </x:c>
      <x:c r="T45" s="47" t="str"/>
      <x:c r="U45" s="47" t="str">
        <x:v>[]</x:v>
      </x:c>
      <x:c r="V45" s="47" t="str">
        <x:v>["unclaimed_funds"]</x:v>
      </x:c>
      <x:c r="W45" s="47" t="str">
        <x:v>[]</x:v>
      </x:c>
      <x:c r="X45" s="47" t="str">
        <x:v>[]</x:v>
      </x:c>
      <x:c r="Y45" s="47" t="str">
        <x:v>["UN-002"]</x:v>
      </x:c>
      <x:c r="Z45" s="47" t="str">
        <x:v>["예금자 대상 전화문의 안내"]</x:v>
      </x:c>
      <x:c r="AA45" s="47" t="str"/>
      <x:c r="AB45" s="47" t="str">
        <x:v>Codex 1차 검수</x:v>
      </x:c>
      <x:c r="AC45" s="47" t="str">
        <x:v>2026-07-30</x:v>
      </x:c>
      <x:c r="AD45" s="47" t="str">
        <x:v>v1.1_gold_review</x:v>
      </x:c>
    </x:row>
    <x:row r="46" ht="38.099998474121094" customHeight="1">
      <x:c r="A46" s="7" t="str">
        <x:f t="shared" si="1"/>
        <x:v>Y</x:v>
      </x:c>
      <x:c r="B46" s="7" t="s">
        <x:v>195</x:v>
      </x:c>
      <x:c r="C46" s="7" t="s">
        <x:v>162</x:v>
      </x:c>
      <x:c r="D46" s="5" t="s">
        <x:v>196</x:v>
      </x:c>
      <x:c r="E46" s="7" t="str">
        <x:v>고객 미수령금</x:v>
      </x:c>
      <x:c r="F46" s="7" t="s">
        <x:v>182</x:v>
      </x:c>
      <x:c r="G46" s="7" t="s">
        <x:v>32</x:v>
      </x:c>
      <x:c r="H46" s="7" t="s">
        <x:v>20</x:v>
      </x:c>
      <x:c r="I46" s="5" t="str">
        <x:v>["https://fins.kdic.or.kr/ua/aplygudn/NramtItgrAplyItrdMthdGudn/selectScrn.do"]</x:v>
      </x:c>
      <x:c r="J46" s="5" t="s">
        <x:v>197</x:v>
      </x:c>
      <x:c r="K46" s="5" t="s">
        <x:v>22</x:v>
      </x:c>
      <x:c r="L46" s="5" t="s">
        <x:v>197</x:v>
      </x:c>
      <x:c r="M46" s="7" t="s">
        <x:v>117</x:v>
      </x:c>
      <x:c r="N46" s="7" t="s">
        <x:v>40</x:v>
      </x:c>
      <x:c r="O46" s="7" t="s">
        <x:v>25</x:v>
      </x:c>
      <x:c r="P46" s="47" t="str">
        <x:v>Y</x:v>
      </x:c>
      <x:c r="Q46" s="48" t="b">
        <x:v>1</x:v>
      </x:c>
      <x:c r="R46" s="47" t="str">
        <x:v>clear</x:v>
      </x:c>
      <x:c r="S46" s="47" t="str">
        <x:v>answer</x:v>
      </x:c>
      <x:c r="T46" s="47" t="str"/>
      <x:c r="U46" s="47" t="str">
        <x:v>[]</x:v>
      </x:c>
      <x:c r="V46" s="47" t="str">
        <x:v>["unclaimed_funds"]</x:v>
      </x:c>
      <x:c r="W46" s="47" t="str">
        <x:v>[]</x:v>
      </x:c>
      <x:c r="X46" s="47" t="str">
        <x:v>[]</x:v>
      </x:c>
      <x:c r="Y46" s="47" t="str">
        <x:v>["UN-003"]</x:v>
      </x:c>
      <x:c r="Z46" s="47" t="str">
        <x:v>["예금보험금","개산지급금","정산금 (개산지급금 정산금)","가지급금","파산배당금"]</x:v>
      </x:c>
      <x:c r="AA46" s="47" t="str"/>
      <x:c r="AB46" s="47" t="str">
        <x:v>Codex 1차 검수</x:v>
      </x:c>
      <x:c r="AC46" s="47" t="str">
        <x:v>2026-07-30</x:v>
      </x:c>
      <x:c r="AD46" s="47" t="str">
        <x:v>v1.1_gold_review</x:v>
      </x:c>
    </x:row>
    <x:row r="47" ht="38.099998474121094" customHeight="1">
      <x:c r="A47" s="7" t="str">
        <x:f t="shared" si="1"/>
        <x:v>Y</x:v>
      </x:c>
      <x:c r="B47" s="7" t="s">
        <x:v>198</x:v>
      </x:c>
      <x:c r="C47" s="7" t="s">
        <x:v>166</x:v>
      </x:c>
      <x:c r="D47" s="5" t="s">
        <x:v>199</x:v>
      </x:c>
      <x:c r="E47" s="7" t="str">
        <x:v>고객 미수령금</x:v>
      </x:c>
      <x:c r="F47" s="7" t="s">
        <x:v>182</x:v>
      </x:c>
      <x:c r="G47" s="7" t="s">
        <x:v>32</x:v>
      </x:c>
      <x:c r="H47" s="7" t="s">
        <x:v>20</x:v>
      </x:c>
      <x:c r="I47" s="5" t="str">
        <x:v>["https://fins.kdic.or.kr/ua/aplygudn/NramtItgrAplyItrdMthdGudn/selectScrn.do"]</x:v>
      </x:c>
      <x:c r="J47" s="5" t="s">
        <x:v>200</x:v>
      </x:c>
      <x:c r="K47" s="5" t="s">
        <x:v>22</x:v>
      </x:c>
      <x:c r="L47" s="5" t="s">
        <x:v>200</x:v>
      </x:c>
      <x:c r="M47" s="7" t="s">
        <x:v>117</x:v>
      </x:c>
      <x:c r="N47" s="7" t="s">
        <x:v>40</x:v>
      </x:c>
      <x:c r="O47" s="7" t="s">
        <x:v>25</x:v>
      </x:c>
      <x:c r="P47" s="47" t="str">
        <x:v>Y</x:v>
      </x:c>
      <x:c r="Q47" s="48" t="b">
        <x:v>1</x:v>
      </x:c>
      <x:c r="R47" s="47" t="str">
        <x:v>clear</x:v>
      </x:c>
      <x:c r="S47" s="47" t="str">
        <x:v>answer</x:v>
      </x:c>
      <x:c r="T47" s="47" t="str"/>
      <x:c r="U47" s="47" t="str">
        <x:v>[]</x:v>
      </x:c>
      <x:c r="V47" s="47" t="str">
        <x:v>["unclaimed_funds"]</x:v>
      </x:c>
      <x:c r="W47" s="47" t="str">
        <x:v>[]</x:v>
      </x:c>
      <x:c r="X47" s="47" t="str">
        <x:v>[]</x:v>
      </x:c>
      <x:c r="Y47" s="47" t="str">
        <x:v>["UN-003"]</x:v>
      </x:c>
      <x:c r="Z47" s="47" t="str">
        <x:v>["(온라인) 금융안심포털에서 미수령금통합신청","(오프라인) 지급대행점 직접 방문"]</x:v>
      </x:c>
      <x:c r="AA47" s="47" t="str"/>
      <x:c r="AB47" s="47" t="str">
        <x:v>Codex 1차 검수</x:v>
      </x:c>
      <x:c r="AC47" s="47" t="str">
        <x:v>2026-07-30</x:v>
      </x:c>
      <x:c r="AD47" s="47" t="str">
        <x:v>v1.1_gold_review</x:v>
      </x:c>
    </x:row>
    <x:row r="48" ht="38.099998474121094" customHeight="1">
      <x:c r="A48" s="7" t="str">
        <x:f t="shared" si="1"/>
        <x:v>Y</x:v>
      </x:c>
      <x:c r="B48" s="7" t="s">
        <x:v>201</x:v>
      </x:c>
      <x:c r="C48" s="7" t="s">
        <x:v>170</x:v>
      </x:c>
      <x:c r="D48" s="5" t="s">
        <x:v>202</x:v>
      </x:c>
      <x:c r="E48" s="7" t="str">
        <x:v>고객 미수령금</x:v>
      </x:c>
      <x:c r="F48" s="7" t="s">
        <x:v>182</x:v>
      </x:c>
      <x:c r="G48" s="7" t="s">
        <x:v>71</x:v>
      </x:c>
      <x:c r="H48" s="7" t="s">
        <x:v>72</x:v>
      </x:c>
      <x:c r="I48" s="5" t="str">
        <x:v>["https://www.kdic.or.kr/sp/dpstrprot/ProtSystHrpeHistInq/selectScrn.do"]</x:v>
      </x:c>
      <x:c r="J48" s="5" t="s">
        <x:v>203</x:v>
      </x:c>
      <x:c r="K48" s="5" t="s">
        <x:v>204</x:v>
      </x:c>
      <x:c r="L48" s="5" t="s">
        <x:v>205</x:v>
      </x:c>
      <x:c r="M48" s="7" t="s">
        <x:v>39</x:v>
      </x:c>
      <x:c r="N48" s="7" t="s">
        <x:v>40</x:v>
      </x:c>
      <x:c r="O48" s="7" t="s">
        <x:v>25</x:v>
      </x:c>
      <x:c r="P48" s="47" t="str">
        <x:v>Y</x:v>
      </x:c>
      <x:c r="Q48" s="48" t="b">
        <x:v>1</x:v>
      </x:c>
      <x:c r="R48" s="47" t="str">
        <x:v>clear</x:v>
      </x:c>
      <x:c r="S48" s="47" t="str">
        <x:v>answer</x:v>
      </x:c>
      <x:c r="T48" s="47" t="str"/>
      <x:c r="U48" s="47" t="str">
        <x:v>[]</x:v>
      </x:c>
      <x:c r="V48" s="47" t="str">
        <x:v>["unclaimed_funds"]</x:v>
      </x:c>
      <x:c r="W48" s="47" t="str">
        <x:v>[]</x:v>
      </x:c>
      <x:c r="X48" s="47" t="str">
        <x:v>[]</x:v>
      </x:c>
      <x:c r="Y48" s="47" t="str">
        <x:v>["UN-004"]</x:v>
      </x:c>
      <x:c r="Z48" s="47" t="str">
        <x:v>["상속인 금융거래 조회서비스란?","상속인 미수령금 조회결과 안내"]</x:v>
      </x:c>
      <x:c r="AA48" s="47" t="str"/>
      <x:c r="AB48" s="47" t="str">
        <x:v>Codex 1차 검수</x:v>
      </x:c>
      <x:c r="AC48" s="47" t="str">
        <x:v>2026-07-30</x:v>
      </x:c>
      <x:c r="AD48" s="47" t="str">
        <x:v>v1.1_gold_review</x:v>
      </x:c>
    </x:row>
    <x:row r="49" ht="38.099998474121094" customHeight="1">
      <x:c r="A49" s="7" t="str">
        <x:f t="shared" si="1"/>
        <x:v>Y</x:v>
      </x:c>
      <x:c r="B49" s="7" t="s">
        <x:v>206</x:v>
      </x:c>
      <x:c r="C49" s="7" t="s">
        <x:v>173</x:v>
      </x:c>
      <x:c r="D49" s="5" t="s">
        <x:v>207</x:v>
      </x:c>
      <x:c r="E49" s="7" t="str">
        <x:v>고객 미수령금</x:v>
      </x:c>
      <x:c r="F49" s="7" t="s">
        <x:v>182</x:v>
      </x:c>
      <x:c r="G49" s="7" t="s">
        <x:v>32</x:v>
      </x:c>
      <x:c r="H49" s="7" t="s">
        <x:v>72</x:v>
      </x:c>
      <x:c r="I49" s="5" t="str">
        <x:v>["https://www.kdic.or.kr/sp/dpstrprot/ProtSystHrpeHistInq/selectScrn.do"]</x:v>
      </x:c>
      <x:c r="J49" s="5" t="s">
        <x:v>208</x:v>
      </x:c>
      <x:c r="K49" s="5" t="s">
        <x:v>205</x:v>
      </x:c>
      <x:c r="L49" s="5" t="s">
        <x:v>209</x:v>
      </x:c>
      <x:c r="M49" s="7" t="s">
        <x:v>39</x:v>
      </x:c>
      <x:c r="N49" s="7" t="s">
        <x:v>40</x:v>
      </x:c>
      <x:c r="O49" s="7" t="s">
        <x:v>25</x:v>
      </x:c>
      <x:c r="P49" s="47" t="str">
        <x:v>Y</x:v>
      </x:c>
      <x:c r="Q49" s="48" t="b">
        <x:v>1</x:v>
      </x:c>
      <x:c r="R49" s="47" t="str">
        <x:v>clear</x:v>
      </x:c>
      <x:c r="S49" s="47" t="str">
        <x:v>answer</x:v>
      </x:c>
      <x:c r="T49" s="47" t="str"/>
      <x:c r="U49" s="47" t="str">
        <x:v>[]</x:v>
      </x:c>
      <x:c r="V49" s="47" t="str">
        <x:v>["unclaimed_funds"]</x:v>
      </x:c>
      <x:c r="W49" s="47" t="str">
        <x:v>[]</x:v>
      </x:c>
      <x:c r="X49" s="47" t="str">
        <x:v>[]</x:v>
      </x:c>
      <x:c r="Y49" s="47" t="str">
        <x:v>["UN-004"]</x:v>
      </x:c>
      <x:c r="Z49" s="47" t="str">
        <x:v>["접수처","상속인 금융거래 조회서비스란?","상속인 미수령금 조회결과 안내"]</x:v>
      </x:c>
      <x:c r="AA49" s="47" t="str"/>
      <x:c r="AB49" s="47" t="str">
        <x:v>Codex 1차 검수</x:v>
      </x:c>
      <x:c r="AC49" s="47" t="str">
        <x:v>2026-07-30</x:v>
      </x:c>
      <x:c r="AD49" s="47" t="str">
        <x:v>v1.1_gold_review</x:v>
      </x:c>
    </x:row>
    <x:row r="50" ht="38.099998474121094" customHeight="1">
      <x:c r="A50" s="7" t="str">
        <x:f t="shared" si="1"/>
        <x:v>Y</x:v>
      </x:c>
      <x:c r="B50" s="7" t="s">
        <x:v>210</x:v>
      </x:c>
      <x:c r="C50" s="7" t="s">
        <x:v>211</x:v>
      </x:c>
      <x:c r="D50" s="5" t="s">
        <x:v>212</x:v>
      </x:c>
      <x:c r="E50" s="7" t="str">
        <x:v>고객 미수령금</x:v>
      </x:c>
      <x:c r="F50" s="7" t="s">
        <x:v>182</x:v>
      </x:c>
      <x:c r="G50" s="7" t="s">
        <x:v>32</x:v>
      </x:c>
      <x:c r="H50" s="7" t="s">
        <x:v>20</x:v>
      </x:c>
      <x:c r="I50" s="5" t="str">
        <x:v>["https://fins.kdic.or.kr/ua/aplygudn/NramtItgrAplyItrdMthdGudn/selectScrn.do"]</x:v>
      </x:c>
      <x:c r="J50" s="5" t="s">
        <x:v>197</x:v>
      </x:c>
      <x:c r="K50" s="5" t="s">
        <x:v>22</x:v>
      </x:c>
      <x:c r="L50" s="5" t="s">
        <x:v>197</x:v>
      </x:c>
      <x:c r="M50" s="7" t="s">
        <x:v>117</x:v>
      </x:c>
      <x:c r="N50" s="7" t="s">
        <x:v>40</x:v>
      </x:c>
      <x:c r="O50" s="7" t="s">
        <x:v>25</x:v>
      </x:c>
      <x:c r="P50" s="47" t="str">
        <x:v>Y</x:v>
      </x:c>
      <x:c r="Q50" s="48" t="b">
        <x:v>1</x:v>
      </x:c>
      <x:c r="R50" s="47" t="str">
        <x:v>clear</x:v>
      </x:c>
      <x:c r="S50" s="47" t="str">
        <x:v>answer</x:v>
      </x:c>
      <x:c r="T50" s="47" t="str"/>
      <x:c r="U50" s="47" t="str">
        <x:v>[]</x:v>
      </x:c>
      <x:c r="V50" s="47" t="str">
        <x:v>["unclaimed_funds"]</x:v>
      </x:c>
      <x:c r="W50" s="47" t="str">
        <x:v>[]</x:v>
      </x:c>
      <x:c r="X50" s="47" t="str">
        <x:v>[]</x:v>
      </x:c>
      <x:c r="Y50" s="47" t="str">
        <x:v>["UN-003"]</x:v>
      </x:c>
      <x:c r="Z50" s="47" t="str">
        <x:v>["예금보험금","개산지급금","정산금 (개산지급금 정산금)","가지급금","파산배당금"]</x:v>
      </x:c>
      <x:c r="AA50" s="47" t="str"/>
      <x:c r="AB50" s="47" t="str">
        <x:v>Codex 1차 검수</x:v>
      </x:c>
      <x:c r="AC50" s="47" t="str">
        <x:v>2026-07-30</x:v>
      </x:c>
      <x:c r="AD50" s="47" t="str">
        <x:v>v1.1_gold_review</x:v>
      </x:c>
    </x:row>
    <x:row r="51" ht="38.099998474121094" customHeight="1">
      <x:c r="A51" s="7" t="str">
        <x:f t="shared" si="1"/>
        <x:v>N</x:v>
      </x:c>
      <x:c r="B51" s="7" t="s">
        <x:v>213</x:v>
      </x:c>
      <x:c r="C51" s="7" t="s">
        <x:v>214</x:v>
      </x:c>
      <x:c r="D51" s="5" t="s">
        <x:v>215</x:v>
      </x:c>
      <x:c r="E51" s="7" t="s">
        <x:v>216</x:v>
      </x:c>
      <x:c r="F51" s="7" t="s">
        <x:v>182</x:v>
      </x:c>
      <x:c r="G51" s="7" t="s">
        <x:v>19</x:v>
      </x:c>
      <x:c r="H51" s="7" t="s">
        <x:v>20</x:v>
      </x:c>
      <x:c r="I51" s="5" t="s">
        <x:v>217</x:v>
      </x:c>
      <x:c r="J51" s="5" t="s">
        <x:v>22</x:v>
      </x:c>
      <x:c r="K51" s="5" t="s">
        <x:v>22</x:v>
      </x:c>
      <x:c r="L51" s="5" t="s">
        <x:v>22</x:v>
      </x:c>
      <x:c r="M51" s="7" t="s">
        <x:v>23</x:v>
      </x:c>
      <x:c r="N51" s="7" t="s">
        <x:v>24</x:v>
      </x:c>
      <x:c r="O51" s="7" t="s">
        <x:v>41</x:v>
      </x:c>
      <x:c r="P51" s="47"/>
      <x:c r="Q51" s="47"/>
      <x:c r="R51" s="47"/>
      <x:c r="S51" s="47"/>
      <x:c r="T51" s="47"/>
      <x:c r="U51" s="47"/>
      <x:c r="V51" s="47"/>
      <x:c r="W51" s="47"/>
      <x:c r="X51" s="47"/>
      <x:c r="Y51" s="47"/>
      <x:c r="Z51" s="47"/>
      <x:c r="AA51" s="47"/>
      <x:c r="AB51" s="47"/>
      <x:c r="AC51" s="47"/>
      <x:c r="AD51" s="47"/>
    </x:row>
    <x:row r="52" ht="38.099998474121094" customHeight="1">
      <x:c r="A52" s="7" t="str">
        <x:f t="shared" si="1"/>
        <x:v>N</x:v>
      </x:c>
      <x:c r="B52" s="7" t="s">
        <x:v>218</x:v>
      </x:c>
      <x:c r="C52" s="7" t="s">
        <x:v>219</x:v>
      </x:c>
      <x:c r="D52" s="5" t="s">
        <x:v>220</x:v>
      </x:c>
      <x:c r="E52" s="7" t="s">
        <x:v>216</x:v>
      </x:c>
      <x:c r="F52" s="7" t="s">
        <x:v>182</x:v>
      </x:c>
      <x:c r="G52" s="7" t="s">
        <x:v>32</x:v>
      </x:c>
      <x:c r="H52" s="7" t="s">
        <x:v>20</x:v>
      </x:c>
      <x:c r="I52" s="5" t="s">
        <x:v>217</x:v>
      </x:c>
      <x:c r="J52" s="5" t="s">
        <x:v>22</x:v>
      </x:c>
      <x:c r="K52" s="5" t="s">
        <x:v>22</x:v>
      </x:c>
      <x:c r="L52" s="5" t="s">
        <x:v>22</x:v>
      </x:c>
      <x:c r="M52" s="7" t="s">
        <x:v>117</x:v>
      </x:c>
      <x:c r="N52" s="7" t="s">
        <x:v>24</x:v>
      </x:c>
      <x:c r="O52" s="7" t="s">
        <x:v>41</x:v>
      </x:c>
      <x:c r="P52" s="47"/>
      <x:c r="Q52" s="47"/>
      <x:c r="R52" s="47"/>
      <x:c r="S52" s="47"/>
      <x:c r="T52" s="47"/>
      <x:c r="U52" s="47"/>
      <x:c r="V52" s="47"/>
      <x:c r="W52" s="47"/>
      <x:c r="X52" s="47"/>
      <x:c r="Y52" s="47"/>
      <x:c r="Z52" s="47"/>
      <x:c r="AA52" s="47"/>
      <x:c r="AB52" s="47"/>
      <x:c r="AC52" s="47"/>
      <x:c r="AD52" s="47"/>
    </x:row>
    <x:row r="53" ht="38.099998474121094" customHeight="1">
      <x:c r="A53" s="7" t="str">
        <x:f t="shared" si="1"/>
        <x:v>N</x:v>
      </x:c>
      <x:c r="B53" s="7" t="s">
        <x:v>221</x:v>
      </x:c>
      <x:c r="C53" s="7" t="s">
        <x:v>222</x:v>
      </x:c>
      <x:c r="D53" s="5" t="s">
        <x:v>223</x:v>
      </x:c>
      <x:c r="E53" s="7" t="s">
        <x:v>216</x:v>
      </x:c>
      <x:c r="F53" s="7" t="s">
        <x:v>182</x:v>
      </x:c>
      <x:c r="G53" s="7" t="s">
        <x:v>19</x:v>
      </x:c>
      <x:c r="H53" s="7" t="s">
        <x:v>72</x:v>
      </x:c>
      <x:c r="I53" s="5" t="s">
        <x:v>224</x:v>
      </x:c>
      <x:c r="J53" s="5" t="s">
        <x:v>22</x:v>
      </x:c>
      <x:c r="K53" s="5" t="s">
        <x:v>22</x:v>
      </x:c>
      <x:c r="L53" s="5" t="s">
        <x:v>22</x:v>
      </x:c>
      <x:c r="M53" s="7" t="s">
        <x:v>23</x:v>
      </x:c>
      <x:c r="N53" s="7" t="s">
        <x:v>24</x:v>
      </x:c>
      <x:c r="O53" s="7" t="s">
        <x:v>41</x:v>
      </x:c>
      <x:c r="P53" s="47"/>
      <x:c r="Q53" s="47"/>
      <x:c r="R53" s="47"/>
      <x:c r="S53" s="47"/>
      <x:c r="T53" s="47"/>
      <x:c r="U53" s="47"/>
      <x:c r="V53" s="47"/>
      <x:c r="W53" s="47"/>
      <x:c r="X53" s="47"/>
      <x:c r="Y53" s="47"/>
      <x:c r="Z53" s="47"/>
      <x:c r="AA53" s="47"/>
      <x:c r="AB53" s="47"/>
      <x:c r="AC53" s="47"/>
      <x:c r="AD53" s="47"/>
    </x:row>
    <x:row r="54" ht="38.099998474121094" customHeight="1">
      <x:c r="A54" s="7" t="str">
        <x:f t="shared" si="1"/>
        <x:v>N</x:v>
      </x:c>
      <x:c r="B54" s="7" t="s">
        <x:v>225</x:v>
      </x:c>
      <x:c r="C54" s="7" t="s">
        <x:v>226</x:v>
      </x:c>
      <x:c r="D54" s="5" t="s">
        <x:v>227</x:v>
      </x:c>
      <x:c r="E54" s="7" t="str">
        <x:v>고객 미수령금</x:v>
      </x:c>
      <x:c r="F54" s="7" t="s">
        <x:v>182</x:v>
      </x:c>
      <x:c r="G54" s="7" t="s">
        <x:v>140</x:v>
      </x:c>
      <x:c r="H54" s="7" t="s">
        <x:v>72</x:v>
      </x:c>
      <x:c r="I54" s="5" t="str">
        <x:v>[]</x:v>
      </x:c>
      <x:c r="J54" s="5" t="str">
        <x:v>[]</x:v>
      </x:c>
      <x:c r="K54" s="5" t="str">
        <x:v>[]</x:v>
      </x:c>
      <x:c r="L54" s="5" t="str">
        <x:v>[]</x:v>
      </x:c>
      <x:c r="M54" s="7" t="str">
        <x:v>NOT_APPLICABLE</x:v>
      </x:c>
      <x:c r="N54" s="7" t="str">
        <x:v>N</x:v>
      </x:c>
      <x:c r="O54" s="7" t="str">
        <x:v>codex_reviewed_pending_human</x:v>
      </x:c>
      <x:c r="P54" s="47" t="str">
        <x:v>N</x:v>
      </x:c>
      <x:c r="Q54" s="48" t="b">
        <x:v>0</x:v>
      </x:c>
      <x:c r="R54" s="47" t="str">
        <x:v>needs_clarification</x:v>
      </x:c>
      <x:c r="S54" s="47" t="str">
        <x:v>ask_clarification</x:v>
      </x:c>
      <x:c r="T54" s="47" t="str">
        <x:v>어떤 종류의 미수령금에 대한 세금인지 알려주시겠어요?</x:v>
      </x:c>
      <x:c r="U54" s="47" t="str">
        <x:v>["예금보험금","가지급금","개산지급금 정산금","파산배당금"]</x:v>
      </x:c>
      <x:c r="V54" s="47" t="str">
        <x:v>["unclaimed_funds"]</x:v>
      </x:c>
      <x:c r="W54" s="47" t="str">
        <x:v>[]</x:v>
      </x:c>
      <x:c r="X54" s="47" t="str">
        <x:v>["DP-006_chunk_013"]</x:v>
      </x:c>
      <x:c r="Y54" s="47" t="str">
        <x:v>[]</x:v>
      </x:c>
      <x:c r="Z54" s="47" t="str">
        <x:v>[]</x:v>
      </x:c>
      <x:c r="AA54" s="47" t="str">
        <x:v>예금보험금 세금 근거를 일반 미수령금 전체에 적용할 수 없어 직접 답변 불가.</x:v>
      </x:c>
      <x:c r="AB54" s="47" t="str">
        <x:v>Codex 1차 검수</x:v>
      </x:c>
      <x:c r="AC54" s="47" t="str">
        <x:v>2026-07-30</x:v>
      </x:c>
      <x:c r="AD54" s="47" t="str">
        <x:v>v1.1_gold_review</x:v>
      </x:c>
    </x:row>
    <x:row r="55" ht="38.099998474121094" customHeight="1">
      <x:c r="A55" s="7" t="str">
        <x:f t="shared" si="1"/>
        <x:v>N</x:v>
      </x:c>
      <x:c r="B55" s="7" t="s">
        <x:v>228</x:v>
      </x:c>
      <x:c r="C55" s="7" t="s">
        <x:v>229</x:v>
      </x:c>
      <x:c r="D55" s="5" t="s">
        <x:v>230</x:v>
      </x:c>
      <x:c r="E55" s="7" t="str">
        <x:v>고객 미수령금</x:v>
      </x:c>
      <x:c r="F55" s="7" t="s">
        <x:v>182</x:v>
      </x:c>
      <x:c r="G55" s="7" t="s">
        <x:v>71</x:v>
      </x:c>
      <x:c r="H55" s="7" t="s">
        <x:v>72</x:v>
      </x:c>
      <x:c r="I55" s="5" t="str">
        <x:v>[]</x:v>
      </x:c>
      <x:c r="J55" s="5" t="str">
        <x:v>[]</x:v>
      </x:c>
      <x:c r="K55" s="5" t="str">
        <x:v>[]</x:v>
      </x:c>
      <x:c r="L55" s="5" t="str">
        <x:v>[]</x:v>
      </x:c>
      <x:c r="M55" s="7" t="str">
        <x:v>NOT_APPLICABLE</x:v>
      </x:c>
      <x:c r="N55" s="7" t="str">
        <x:v>N</x:v>
      </x:c>
      <x:c r="O55" s="7" t="str">
        <x:v>codex_reviewed_pending_human</x:v>
      </x:c>
      <x:c r="P55" s="47" t="str">
        <x:v>N</x:v>
      </x:c>
      <x:c r="Q55" s="48" t="b">
        <x:v>0</x:v>
      </x:c>
      <x:c r="R55" s="47" t="str">
        <x:v>needs_clarification</x:v>
      </x:c>
      <x:c r="S55" s="47" t="str">
        <x:v>ask_clarification</x:v>
      </x:c>
      <x:c r="T55" s="47" t="str">
        <x:v>신청하려는 미수령금 종류와 본인인증 가능 여부를 알려주시겠어요?</x:v>
      </x:c>
      <x:c r="U55" s="47" t="str">
        <x:v>["예금보험금","가지급금","파산배당금","종류를 모름"]</x:v>
      </x:c>
      <x:c r="V55" s="47" t="str">
        <x:v>["unclaimed_funds"]</x:v>
      </x:c>
      <x:c r="W55" s="47" t="str">
        <x:v>[]</x:v>
      </x:c>
      <x:c r="X55" s="47" t="str">
        <x:v>["DP-005_chunk_023","DP-005_chunk_024","UN-003_chunk_006","DP-005_chunk_033","BI-002_chunk_002"]</x:v>
      </x:c>
      <x:c r="Y55" s="47" t="str">
        <x:v>[]</x:v>
      </x:c>
      <x:c r="Z55" s="47" t="str">
        <x:v>[]</x:v>
      </x:c>
      <x:c r="AA55" s="47" t="str">
        <x:v>재외국민 관련 근거가 다른 업무 FAQ에 있고 모든 미수령금에 공통 적용되는지 불명확.</x:v>
      </x:c>
      <x:c r="AB55" s="47" t="str">
        <x:v>Codex 1차 검수</x:v>
      </x:c>
      <x:c r="AC55" s="47" t="str">
        <x:v>2026-07-30</x:v>
      </x:c>
      <x:c r="AD55" s="47" t="str">
        <x:v>v1.1_gold_review</x:v>
      </x:c>
    </x:row>
    <x:row r="56" ht="38.099998474121094" customHeight="1">
      <x:c r="A56" s="7" t="str">
        <x:f t="shared" si="1"/>
        <x:v>N</x:v>
      </x:c>
      <x:c r="B56" s="7" t="s">
        <x:v>231</x:v>
      </x:c>
      <x:c r="C56" s="7" t="s">
        <x:v>232</x:v>
      </x:c>
      <x:c r="D56" s="5" t="s">
        <x:v>233</x:v>
      </x:c>
      <x:c r="E56" s="7" t="str">
        <x:v>고객 미수령금</x:v>
      </x:c>
      <x:c r="F56" s="7" t="s">
        <x:v>182</x:v>
      </x:c>
      <x:c r="G56" s="7" t="s">
        <x:v>140</x:v>
      </x:c>
      <x:c r="H56" s="7" t="s">
        <x:v>72</x:v>
      </x:c>
      <x:c r="I56" s="5" t="str">
        <x:v>[]</x:v>
      </x:c>
      <x:c r="J56" s="5" t="str">
        <x:v>[]</x:v>
      </x:c>
      <x:c r="K56" s="5" t="str">
        <x:v>[]</x:v>
      </x:c>
      <x:c r="L56" s="5" t="str">
        <x:v>[]</x:v>
      </x:c>
      <x:c r="M56" s="7" t="str">
        <x:v>NOT_APPLICABLE</x:v>
      </x:c>
      <x:c r="N56" s="7" t="str">
        <x:v>N</x:v>
      </x:c>
      <x:c r="O56" s="7" t="str">
        <x:v>codex_reviewed_pending_human</x:v>
      </x:c>
      <x:c r="P56" s="47" t="str">
        <x:v>N</x:v>
      </x:c>
      <x:c r="Q56" s="48" t="b">
        <x:v>0</x:v>
      </x:c>
      <x:c r="R56" s="47" t="str">
        <x:v>clear</x:v>
      </x:c>
      <x:c r="S56" s="47" t="str">
        <x:v>answer_with_limitation</x:v>
      </x:c>
      <x:c r="T56" s="47" t="str"/>
      <x:c r="U56" s="47" t="str">
        <x:v>[]</x:v>
      </x:c>
      <x:c r="V56" s="47" t="str">
        <x:v>["unclaimed_funds"]</x:v>
      </x:c>
      <x:c r="W56" s="47" t="str">
        <x:v>[]</x:v>
      </x:c>
      <x:c r="X56" s="47" t="str">
        <x:v>["DP-006_chunk_012","MT-008_chunk_002"]</x:v>
      </x:c>
      <x:c r="Y56" s="47" t="str">
        <x:v>[]</x:v>
      </x:c>
      <x:c r="Z56" s="47" t="str">
        <x:v>[]</x:v>
      </x:c>
      <x:c r="AA56" s="47" t="str">
        <x:v>법인 명의 미수령금 조회·신청 가능 여부를 직접 설명하는 청크가 없어 문의 경로 안내 필요.</x:v>
      </x:c>
      <x:c r="AB56" s="47" t="str">
        <x:v>Codex 1차 검수</x:v>
      </x:c>
      <x:c r="AC56" s="47" t="str">
        <x:v>2026-07-30</x:v>
      </x:c>
      <x:c r="AD56" s="47" t="str">
        <x:v>v1.1_gold_review</x:v>
      </x:c>
    </x:row>
    <x:row r="57" ht="38.099998474121094" customHeight="1">
      <x:c r="A57" s="7" t="str">
        <x:f t="shared" si="1"/>
        <x:v>N</x:v>
      </x:c>
      <x:c r="B57" s="7" t="s">
        <x:v>234</x:v>
      </x:c>
      <x:c r="C57" s="7" t="s">
        <x:v>235</x:v>
      </x:c>
      <x:c r="D57" s="5" t="s">
        <x:v>236</x:v>
      </x:c>
      <x:c r="E57" s="7" t="str">
        <x:v>고객 미수령금</x:v>
      </x:c>
      <x:c r="F57" s="7" t="s">
        <x:v>182</x:v>
      </x:c>
      <x:c r="G57" s="7" t="s">
        <x:v>140</x:v>
      </x:c>
      <x:c r="H57" s="7" t="s">
        <x:v>72</x:v>
      </x:c>
      <x:c r="I57" s="5" t="str">
        <x:v>[]</x:v>
      </x:c>
      <x:c r="J57" s="5" t="str">
        <x:v>[]</x:v>
      </x:c>
      <x:c r="K57" s="5" t="str">
        <x:v>[]</x:v>
      </x:c>
      <x:c r="L57" s="5" t="str">
        <x:v>[]</x:v>
      </x:c>
      <x:c r="M57" s="7" t="str">
        <x:v>NOT_APPLICABLE</x:v>
      </x:c>
      <x:c r="N57" s="7" t="str">
        <x:v>N</x:v>
      </x:c>
      <x:c r="O57" s="7" t="str">
        <x:v>codex_reviewed_pending_human</x:v>
      </x:c>
      <x:c r="P57" s="47" t="str">
        <x:v>N</x:v>
      </x:c>
      <x:c r="Q57" s="48" t="b">
        <x:v>0</x:v>
      </x:c>
      <x:c r="R57" s="47" t="str">
        <x:v>needs_clarification</x:v>
      </x:c>
      <x:c r="S57" s="47" t="str">
        <x:v>ask_clarification</x:v>
      </x:c>
      <x:c r="T57" s="47" t="str">
        <x:v>어떤 종류의 미수령금 이자 계산을 확인하고 싶으신가요?</x:v>
      </x:c>
      <x:c r="U57" s="47" t="str">
        <x:v>["예금보험금","가지급금","개산지급금 정산금","파산배당금"]</x:v>
      </x:c>
      <x:c r="V57" s="47" t="str">
        <x:v>["unclaimed_funds"]</x:v>
      </x:c>
      <x:c r="W57" s="47" t="str">
        <x:v>[]</x:v>
      </x:c>
      <x:c r="X57" s="47" t="str">
        <x:v>["DP-005_chunk_030","DP-005_chunk_031"]</x:v>
      </x:c>
      <x:c r="Y57" s="47" t="str">
        <x:v>[]</x:v>
      </x:c>
      <x:c r="Z57" s="47" t="str">
        <x:v>[]</x:v>
      </x:c>
      <x:c r="AA57" s="47" t="str">
        <x:v>기존 근거는 예금보험금·가지급금에 한정되어 일반 미수령금 질문에 바로 적용할 수 없음.</x:v>
      </x:c>
      <x:c r="AB57" s="47" t="str">
        <x:v>Codex 1차 검수</x:v>
      </x:c>
      <x:c r="AC57" s="47" t="str">
        <x:v>2026-07-30</x:v>
      </x:c>
      <x:c r="AD57" s="47" t="str">
        <x:v>v1.1_gold_review</x:v>
      </x:c>
    </x:row>
    <x:row r="58" ht="38.099998474121094" customHeight="1">
      <x:c r="A58" s="7" t="str">
        <x:f t="shared" si="1"/>
        <x:v>N</x:v>
      </x:c>
      <x:c r="B58" s="7" t="s">
        <x:v>237</x:v>
      </x:c>
      <x:c r="C58" s="7" t="s">
        <x:v>238</x:v>
      </x:c>
      <x:c r="D58" s="5" t="s">
        <x:v>239</x:v>
      </x:c>
      <x:c r="E58" s="7" t="str">
        <x:v>고객 미수령금</x:v>
      </x:c>
      <x:c r="F58" s="7" t="s">
        <x:v>182</x:v>
      </x:c>
      <x:c r="G58" s="7" t="s">
        <x:v>71</x:v>
      </x:c>
      <x:c r="H58" s="7" t="s">
        <x:v>72</x:v>
      </x:c>
      <x:c r="I58" s="5" t="str">
        <x:v>[]</x:v>
      </x:c>
      <x:c r="J58" s="5" t="str">
        <x:v>[]</x:v>
      </x:c>
      <x:c r="K58" s="5" t="str">
        <x:v>[]</x:v>
      </x:c>
      <x:c r="L58" s="5" t="str">
        <x:v>[]</x:v>
      </x:c>
      <x:c r="M58" s="7" t="str">
        <x:v>NOT_APPLICABLE</x:v>
      </x:c>
      <x:c r="N58" s="7" t="str">
        <x:v>N</x:v>
      </x:c>
      <x:c r="O58" s="7" t="str">
        <x:v>codex_reviewed_pending_human</x:v>
      </x:c>
      <x:c r="P58" s="47" t="str">
        <x:v>N</x:v>
      </x:c>
      <x:c r="Q58" s="48" t="b">
        <x:v>0</x:v>
      </x:c>
      <x:c r="R58" s="47" t="str">
        <x:v>needs_clarification</x:v>
      </x:c>
      <x:c r="S58" s="47" t="str">
        <x:v>ask_clarification</x:v>
      </x:c>
      <x:c r="T58" s="47" t="str">
        <x:v>외화로 보유했던 금액이 예금보험금인지 다른 미수령금인지 알려주시겠어요?</x:v>
      </x:c>
      <x:c r="U58" s="47" t="str">
        <x:v>["예금보험금","파산배당금","기타 미수령금","종류를 모름"]</x:v>
      </x:c>
      <x:c r="V58" s="47" t="str">
        <x:v>["unclaimed_funds"]</x:v>
      </x:c>
      <x:c r="W58" s="47" t="str">
        <x:v>[]</x:v>
      </x:c>
      <x:c r="X58" s="47" t="str">
        <x:v>["DP-006_chunk_005"]</x:v>
      </x:c>
      <x:c r="Y58" s="47" t="str">
        <x:v>[]</x:v>
      </x:c>
      <x:c r="Z58" s="47" t="str">
        <x:v>[]</x:v>
      </x:c>
      <x:c r="AA58" s="47" t="str">
        <x:v>환율 청크는 예금보험금에 한정되어 미수령금 종류 확인이 필요.</x:v>
      </x:c>
      <x:c r="AB58" s="47" t="str">
        <x:v>Codex 1차 검수</x:v>
      </x:c>
      <x:c r="AC58" s="47" t="str">
        <x:v>2026-07-30</x:v>
      </x:c>
      <x:c r="AD58" s="47" t="str">
        <x:v>v1.1_gold_review</x:v>
      </x:c>
    </x:row>
    <x:row r="59" ht="38.099998474121094" customHeight="1">
      <x:c r="A59" s="7" t="str">
        <x:f t="shared" si="1"/>
        <x:v>N</x:v>
      </x:c>
      <x:c r="B59" s="7" t="s">
        <x:v>240</x:v>
      </x:c>
      <x:c r="C59" s="7" t="s">
        <x:v>241</x:v>
      </x:c>
      <x:c r="D59" s="5" t="s">
        <x:v>242</x:v>
      </x:c>
      <x:c r="E59" s="7" t="str">
        <x:v>고객 미수령금</x:v>
      </x:c>
      <x:c r="F59" s="7" t="s">
        <x:v>182</x:v>
      </x:c>
      <x:c r="G59" s="7" t="s">
        <x:v>71</x:v>
      </x:c>
      <x:c r="H59" s="7" t="s">
        <x:v>20</x:v>
      </x:c>
      <x:c r="I59" s="5" t="str">
        <x:v>[]</x:v>
      </x:c>
      <x:c r="J59" s="5" t="str">
        <x:v>[]</x:v>
      </x:c>
      <x:c r="K59" s="5" t="str">
        <x:v>[]</x:v>
      </x:c>
      <x:c r="L59" s="5" t="str">
        <x:v>[]</x:v>
      </x:c>
      <x:c r="M59" s="7" t="str">
        <x:v>NOT_APPLICABLE</x:v>
      </x:c>
      <x:c r="N59" s="7" t="str">
        <x:v>N</x:v>
      </x:c>
      <x:c r="O59" s="7" t="str">
        <x:v>codex_reviewed_pending_human</x:v>
      </x:c>
      <x:c r="P59" s="47" t="str">
        <x:v>N</x:v>
      </x:c>
      <x:c r="Q59" s="48" t="b">
        <x:v>0</x:v>
      </x:c>
      <x:c r="R59" s="47" t="str">
        <x:v>needs_clarification</x:v>
      </x:c>
      <x:c r="S59" s="47" t="str">
        <x:v>ask_clarification</x:v>
      </x:c>
      <x:c r="T59" s="47" t="str">
        <x:v>확인하려는 금액이 예금보험금, 파산배당금, 가지급금 중 무엇인가요?</x:v>
      </x:c>
      <x:c r="U59" s="47" t="str">
        <x:v>["예금보험금","파산배당금","가지급금","종류를 모름"]</x:v>
      </x:c>
      <x:c r="V59" s="47" t="str">
        <x:v>["unclaimed_funds"]</x:v>
      </x:c>
      <x:c r="W59" s="47" t="str">
        <x:v>[]</x:v>
      </x:c>
      <x:c r="X59" s="47" t="str">
        <x:v>["BI-003_chunk_000","BI-003_chunk_001","BI-003_chunk_003","BI-003_chunk_006","UN-001_chunk_002","UN-001_chunk_003"]</x:v>
      </x:c>
      <x:c r="Y59" s="47" t="str">
        <x:v>[]</x:v>
      </x:c>
      <x:c r="Z59" s="47" t="str">
        <x:v>[]</x:v>
      </x:c>
      <x:c r="AA59" s="47" t="str">
        <x:v>금액 종류에 따라 지급 주체와 절차가 달라 기존 6개 Gold를 일괄 정답으로 사용할 수 없음.</x:v>
      </x:c>
      <x:c r="AB59" s="47" t="str">
        <x:v>Codex 1차 검수</x:v>
      </x:c>
      <x:c r="AC59" s="47" t="str">
        <x:v>2026-07-30</x:v>
      </x:c>
      <x:c r="AD59" s="47" t="str">
        <x:v>v1.1_gold_review</x:v>
      </x:c>
    </x:row>
    <x:row r="60" ht="38.099998474121094" customHeight="1">
      <x:c r="A60" s="7" t="str">
        <x:f t="shared" si="1"/>
        <x:v>N</x:v>
      </x:c>
      <x:c r="B60" s="7" t="s">
        <x:v>243</x:v>
      </x:c>
      <x:c r="C60" s="7" t="s">
        <x:v>244</x:v>
      </x:c>
      <x:c r="D60" s="5" t="s">
        <x:v>245</x:v>
      </x:c>
      <x:c r="E60" s="7" t="str">
        <x:v>고객 미수령금</x:v>
      </x:c>
      <x:c r="F60" s="7" t="s">
        <x:v>182</x:v>
      </x:c>
      <x:c r="G60" s="7" t="s">
        <x:v>71</x:v>
      </x:c>
      <x:c r="H60" s="7" t="s">
        <x:v>20</x:v>
      </x:c>
      <x:c r="I60" s="5" t="str">
        <x:v>[]</x:v>
      </x:c>
      <x:c r="J60" s="5" t="str">
        <x:v>[]</x:v>
      </x:c>
      <x:c r="K60" s="5" t="str">
        <x:v>[]</x:v>
      </x:c>
      <x:c r="L60" s="5" t="str">
        <x:v>[]</x:v>
      </x:c>
      <x:c r="M60" s="7" t="str">
        <x:v>NOT_APPLICABLE</x:v>
      </x:c>
      <x:c r="N60" s="7" t="str">
        <x:v>N</x:v>
      </x:c>
      <x:c r="O60" s="7" t="str">
        <x:v>codex_reviewed_pending_human</x:v>
      </x:c>
      <x:c r="P60" s="47" t="str">
        <x:v>N</x:v>
      </x:c>
      <x:c r="Q60" s="48" t="b">
        <x:v>0</x:v>
      </x:c>
      <x:c r="R60" s="47" t="str">
        <x:v>clear</x:v>
      </x:c>
      <x:c r="S60" s="47" t="str">
        <x:v>answer_with_limitation</x:v>
      </x:c>
      <x:c r="T60" s="47" t="str"/>
      <x:c r="U60" s="47" t="str">
        <x:v>[]</x:v>
      </x:c>
      <x:c r="V60" s="47" t="str">
        <x:v>["unclaimed_funds"]</x:v>
      </x:c>
      <x:c r="W60" s="47" t="str">
        <x:v>[]</x:v>
      </x:c>
      <x:c r="X60" s="47" t="str">
        <x:v>["UN-002_chunk_000"]</x:v>
      </x:c>
      <x:c r="Y60" s="47" t="str">
        <x:v>[]</x:v>
      </x:c>
      <x:c r="Z60" s="47" t="str">
        <x:v>[]</x:v>
      </x:c>
      <x:c r="AA60" s="47" t="str">
        <x:v>공동명의자 단독 신청 가능 여부를 직접 설명하는 청크가 없어 공식 문의 안내가 필요.</x:v>
      </x:c>
      <x:c r="AB60" s="47" t="str">
        <x:v>Codex 1차 검수</x:v>
      </x:c>
      <x:c r="AC60" s="47" t="str">
        <x:v>2026-07-30</x:v>
      </x:c>
      <x:c r="AD60" s="47" t="str">
        <x:v>v1.1_gold_review</x:v>
      </x:c>
    </x:row>
    <x:row r="61" ht="38.099998474121094" customHeight="1">
      <x:c r="A61" s="7" t="str">
        <x:f t="shared" si="1"/>
        <x:v>Y</x:v>
      </x:c>
      <x:c r="B61" s="7" t="s">
        <x:v>246</x:v>
      </x:c>
      <x:c r="C61" s="7" t="s">
        <x:v>247</x:v>
      </x:c>
      <x:c r="D61" s="5" t="s">
        <x:v>248</x:v>
      </x:c>
      <x:c r="E61" s="7" t="str">
        <x:v>고객 미수령금</x:v>
      </x:c>
      <x:c r="F61" s="7" t="s">
        <x:v>182</x:v>
      </x:c>
      <x:c r="G61" s="7" t="s">
        <x:v>19</x:v>
      </x:c>
      <x:c r="H61" s="7" t="s">
        <x:v>20</x:v>
      </x:c>
      <x:c r="I61" s="5" t="str">
        <x:v>["https://fins.kdic.or.kr/ua/aplygudn/NramtItgrAplyItrdMthdGudn/selectScrn.do"]</x:v>
      </x:c>
      <x:c r="J61" s="5" t="s">
        <x:v>186</x:v>
      </x:c>
      <x:c r="K61" s="5" t="s">
        <x:v>22</x:v>
      </x:c>
      <x:c r="L61" s="5" t="s">
        <x:v>186</x:v>
      </x:c>
      <x:c r="M61" s="7" t="s">
        <x:v>23</x:v>
      </x:c>
      <x:c r="N61" s="7" t="s">
        <x:v>24</x:v>
      </x:c>
      <x:c r="O61" s="7" t="s">
        <x:v>25</x:v>
      </x:c>
      <x:c r="P61" s="47" t="str">
        <x:v>Y</x:v>
      </x:c>
      <x:c r="Q61" s="48" t="b">
        <x:v>1</x:v>
      </x:c>
      <x:c r="R61" s="47" t="str">
        <x:v>clear</x:v>
      </x:c>
      <x:c r="S61" s="47" t="str">
        <x:v>answer</x:v>
      </x:c>
      <x:c r="T61" s="47" t="str"/>
      <x:c r="U61" s="47" t="str">
        <x:v>[]</x:v>
      </x:c>
      <x:c r="V61" s="47" t="str">
        <x:v>["unclaimed_funds"]</x:v>
      </x:c>
      <x:c r="W61" s="47" t="str">
        <x:v>[]</x:v>
      </x:c>
      <x:c r="X61" s="47" t="str">
        <x:v>[]</x:v>
      </x:c>
      <x:c r="Y61" s="47" t="str">
        <x:v>["UN-003"]</x:v>
      </x:c>
      <x:c r="Z61" s="47" t="str">
        <x:v>["(온라인) 금융안심포털에서 미수령금통합신청"]</x:v>
      </x:c>
      <x:c r="AA61" s="47" t="str"/>
      <x:c r="AB61" s="47" t="str">
        <x:v>Codex 1차 검수</x:v>
      </x:c>
      <x:c r="AC61" s="47" t="str">
        <x:v>2026-07-30</x:v>
      </x:c>
      <x:c r="AD61" s="47" t="str">
        <x:v>v1.1_gold_review</x:v>
      </x:c>
    </x:row>
    <x:row r="62" ht="38.099998474121094" customHeight="1">
      <x:c r="A62" s="7" t="str">
        <x:f t="shared" si="1"/>
        <x:v>N</x:v>
      </x:c>
      <x:c r="B62" s="7" t="s">
        <x:v>249</x:v>
      </x:c>
      <x:c r="C62" s="7" t="s">
        <x:v>250</x:v>
      </x:c>
      <x:c r="D62" s="5" t="s">
        <x:v>251</x:v>
      </x:c>
      <x:c r="E62" s="7" t="str">
        <x:v>고객 미수령금</x:v>
      </x:c>
      <x:c r="F62" s="7" t="s">
        <x:v>182</x:v>
      </x:c>
      <x:c r="G62" s="7" t="s">
        <x:v>140</x:v>
      </x:c>
      <x:c r="H62" s="7" t="s">
        <x:v>72</x:v>
      </x:c>
      <x:c r="I62" s="5" t="str">
        <x:v>[]</x:v>
      </x:c>
      <x:c r="J62" s="5" t="str">
        <x:v>[]</x:v>
      </x:c>
      <x:c r="K62" s="5" t="str">
        <x:v>[]</x:v>
      </x:c>
      <x:c r="L62" s="5" t="str">
        <x:v>[]</x:v>
      </x:c>
      <x:c r="M62" s="7" t="str">
        <x:v>NOT_APPLICABLE</x:v>
      </x:c>
      <x:c r="N62" s="7" t="str">
        <x:v>N</x:v>
      </x:c>
      <x:c r="O62" s="7" t="str">
        <x:v>codex_reviewed_pending_human</x:v>
      </x:c>
      <x:c r="P62" s="47" t="str">
        <x:v>N</x:v>
      </x:c>
      <x:c r="Q62" s="48" t="b">
        <x:v>0</x:v>
      </x:c>
      <x:c r="R62" s="47" t="str">
        <x:v>needs_clarification</x:v>
      </x:c>
      <x:c r="S62" s="47" t="str">
        <x:v>ask_clarification</x:v>
      </x:c>
      <x:c r="T62" s="47" t="str">
        <x:v>조회된 미수령금의 종류가 무엇인가요?</x:v>
      </x:c>
      <x:c r="U62" s="47" t="str">
        <x:v>["예금보험금","파산배당금","가지급금","개산지급금 정산금"]</x:v>
      </x:c>
      <x:c r="V62" s="47" t="str">
        <x:v>["unclaimed_funds"]</x:v>
      </x:c>
      <x:c r="W62" s="47" t="str">
        <x:v>[]</x:v>
      </x:c>
      <x:c r="X62" s="47" t="str">
        <x:v>["DP-005_chunk_033"]</x:v>
      </x:c>
      <x:c r="Y62" s="47" t="str">
        <x:v>[]</x:v>
      </x:c>
      <x:c r="Z62" s="47" t="str">
        <x:v>[]</x:v>
      </x:c>
      <x:c r="AA62" s="47" t="str">
        <x:v>예금보험금 입금기간을 모든 미수령금에 적용할 수 없어 종류 확인 필요.</x:v>
      </x:c>
      <x:c r="AB62" s="47" t="str">
        <x:v>Codex 1차 검수</x:v>
      </x:c>
      <x:c r="AC62" s="47" t="str">
        <x:v>2026-07-30</x:v>
      </x:c>
      <x:c r="AD62" s="47" t="str">
        <x:v>v1.1_gold_review</x:v>
      </x:c>
    </x:row>
    <x:row r="63" ht="38.099998474121094" customHeight="1">
      <x:c r="A63" s="7" t="str">
        <x:f t="shared" si="1"/>
        <x:v>N</x:v>
      </x:c>
      <x:c r="B63" s="7" t="s">
        <x:v>252</x:v>
      </x:c>
      <x:c r="C63" s="7" t="s">
        <x:v>253</x:v>
      </x:c>
      <x:c r="D63" s="5" t="s">
        <x:v>254</x:v>
      </x:c>
      <x:c r="E63" s="7" t="str">
        <x:v>고객 미수령금</x:v>
      </x:c>
      <x:c r="F63" s="7" t="s">
        <x:v>182</x:v>
      </x:c>
      <x:c r="G63" s="7" t="s">
        <x:v>71</x:v>
      </x:c>
      <x:c r="H63" s="7" t="s">
        <x:v>20</x:v>
      </x:c>
      <x:c r="I63" s="5" t="str">
        <x:v>[]</x:v>
      </x:c>
      <x:c r="J63" s="5" t="str">
        <x:v>[]</x:v>
      </x:c>
      <x:c r="K63" s="5" t="str">
        <x:v>[]</x:v>
      </x:c>
      <x:c r="L63" s="5" t="str">
        <x:v>[]</x:v>
      </x:c>
      <x:c r="M63" s="7" t="str">
        <x:v>NOT_APPLICABLE</x:v>
      </x:c>
      <x:c r="N63" s="7" t="str">
        <x:v>N</x:v>
      </x:c>
      <x:c r="O63" s="7" t="str">
        <x:v>codex_reviewed_pending_human</x:v>
      </x:c>
      <x:c r="P63" s="47" t="str">
        <x:v>N</x:v>
      </x:c>
      <x:c r="Q63" s="48" t="b">
        <x:v>0</x:v>
      </x:c>
      <x:c r="R63" s="47" t="str">
        <x:v>needs_clarification</x:v>
      </x:c>
      <x:c r="S63" s="47" t="str">
        <x:v>ask_clarification</x:v>
      </x:c>
      <x:c r="T63" s="47" t="str">
        <x:v>부모님 명의의 어떤 미수령금을 대신 신청하려는지와 위임 가능 여부를 알려주시겠어요?</x:v>
      </x:c>
      <x:c r="U63" s="47" t="str">
        <x:v>["예금보험금","파산배당금","상속인 조회","종류를 모름"]</x:v>
      </x:c>
      <x:c r="V63" s="47" t="str">
        <x:v>["unclaimed_funds"]</x:v>
      </x:c>
      <x:c r="W63" s="47" t="str">
        <x:v>[]</x:v>
      </x:c>
      <x:c r="X63" s="47" t="str">
        <x:v>["BI-001_chunk_001","MT-008_chunk_001","MT-008_chunk_010","DA-001_chunk_002","DA-004_chunk_009","DA-007_chunk_003"]</x:v>
      </x:c>
      <x:c r="Y63" s="47" t="str">
        <x:v>[]</x:v>
      </x:c>
      <x:c r="Z63" s="47" t="str">
        <x:v>[]</x:v>
      </x:c>
      <x:c r="AA63" s="47" t="str">
        <x:v>다른 업무의 대리인 서류 청크 6개가 혼입되어 기존 Gold를 제거.</x:v>
      </x:c>
      <x:c r="AB63" s="47" t="str">
        <x:v>Codex 1차 검수</x:v>
      </x:c>
      <x:c r="AC63" s="47" t="str">
        <x:v>2026-07-30</x:v>
      </x:c>
      <x:c r="AD63" s="47" t="str">
        <x:v>v1.1_gold_review</x:v>
      </x:c>
    </x:row>
    <x:row r="64" ht="38.099998474121094" customHeight="1">
      <x:c r="A64" s="7" t="str">
        <x:f t="shared" si="1"/>
        <x:v>N</x:v>
      </x:c>
      <x:c r="B64" s="7" t="s">
        <x:v>255</x:v>
      </x:c>
      <x:c r="C64" s="7" t="s">
        <x:v>256</x:v>
      </x:c>
      <x:c r="D64" s="5" t="s">
        <x:v>257</x:v>
      </x:c>
      <x:c r="E64" s="7" t="s">
        <x:v>216</x:v>
      </x:c>
      <x:c r="F64" s="7" t="s">
        <x:v>182</x:v>
      </x:c>
      <x:c r="G64" s="7" t="s">
        <x:v>71</x:v>
      </x:c>
      <x:c r="H64" s="7" t="s">
        <x:v>72</x:v>
      </x:c>
      <x:c r="I64" s="5" t="s">
        <x:v>258</x:v>
      </x:c>
      <x:c r="J64" s="5" t="s">
        <x:v>22</x:v>
      </x:c>
      <x:c r="K64" s="5" t="s">
        <x:v>22</x:v>
      </x:c>
      <x:c r="L64" s="5" t="s">
        <x:v>22</x:v>
      </x:c>
      <x:c r="M64" s="7" t="s">
        <x:v>23</x:v>
      </x:c>
      <x:c r="N64" s="7" t="s">
        <x:v>24</x:v>
      </x:c>
      <x:c r="O64" s="7" t="s">
        <x:v>41</x:v>
      </x:c>
      <x:c r="P64" s="47"/>
      <x:c r="Q64" s="47"/>
      <x:c r="R64" s="47"/>
      <x:c r="S64" s="47"/>
      <x:c r="T64" s="47"/>
      <x:c r="U64" s="47"/>
      <x:c r="V64" s="47"/>
      <x:c r="W64" s="47"/>
      <x:c r="X64" s="47"/>
      <x:c r="Y64" s="47"/>
      <x:c r="Z64" s="47"/>
      <x:c r="AA64" s="47"/>
      <x:c r="AB64" s="47"/>
      <x:c r="AC64" s="47"/>
      <x:c r="AD64" s="47"/>
    </x:row>
    <x:row r="65" ht="38.099998474121094" customHeight="1">
      <x:c r="A65" s="7" t="str">
        <x:f t="shared" si="1"/>
        <x:v>N</x:v>
      </x:c>
      <x:c r="B65" s="7" t="s">
        <x:v>259</x:v>
      </x:c>
      <x:c r="C65" s="7" t="s">
        <x:v>260</x:v>
      </x:c>
      <x:c r="D65" s="5" t="s">
        <x:v>261</x:v>
      </x:c>
      <x:c r="E65" s="7" t="s">
        <x:v>216</x:v>
      </x:c>
      <x:c r="F65" s="7" t="s">
        <x:v>182</x:v>
      </x:c>
      <x:c r="G65" s="7" t="s">
        <x:v>140</x:v>
      </x:c>
      <x:c r="H65" s="7" t="s">
        <x:v>20</x:v>
      </x:c>
      <x:c r="I65" s="5" t="s">
        <x:v>22</x:v>
      </x:c>
      <x:c r="J65" s="5" t="s">
        <x:v>22</x:v>
      </x:c>
      <x:c r="K65" s="5" t="s">
        <x:v>22</x:v>
      </x:c>
      <x:c r="L65" s="5" t="s">
        <x:v>22</x:v>
      </x:c>
      <x:c r="M65" s="7"/>
      <x:c r="N65" s="7" t="s">
        <x:v>24</x:v>
      </x:c>
      <x:c r="O65" s="7" t="s">
        <x:v>41</x:v>
      </x:c>
      <x:c r="P65" s="47"/>
      <x:c r="Q65" s="47"/>
      <x:c r="R65" s="47"/>
      <x:c r="S65" s="47"/>
      <x:c r="T65" s="47"/>
      <x:c r="U65" s="47"/>
      <x:c r="V65" s="47"/>
      <x:c r="W65" s="47"/>
      <x:c r="X65" s="47"/>
      <x:c r="Y65" s="47"/>
      <x:c r="Z65" s="47"/>
      <x:c r="AA65" s="47"/>
      <x:c r="AB65" s="47"/>
      <x:c r="AC65" s="47"/>
      <x:c r="AD65" s="47"/>
    </x:row>
    <x:row r="66" ht="38.099998474121094" customHeight="1">
      <x:c r="A66" s="7" t="str">
        <x:f t="shared" ref="A66:A97" si="2">IF(OR(L66="",L66="[]"),"N","Y")</x:f>
        <x:v>Y</x:v>
      </x:c>
      <x:c r="B66" s="7" t="s">
        <x:v>262</x:v>
      </x:c>
      <x:c r="C66" s="7" t="s">
        <x:v>263</x:v>
      </x:c>
      <x:c r="D66" s="5" t="s">
        <x:v>264</x:v>
      </x:c>
      <x:c r="E66" s="7" t="str">
        <x:v>고객 미수령금</x:v>
      </x:c>
      <x:c r="F66" s="7" t="s">
        <x:v>182</x:v>
      </x:c>
      <x:c r="G66" s="7" t="s">
        <x:v>19</x:v>
      </x:c>
      <x:c r="H66" s="7" t="s">
        <x:v>20</x:v>
      </x:c>
      <x:c r="I66" s="5" t="str">
        <x:v>["https://fins.kdic.or.kr/ua/aplygudn/NramtItgrAplyItrdMthdGudn/selectScrn.do"]</x:v>
      </x:c>
      <x:c r="J66" s="5" t="s">
        <x:v>186</x:v>
      </x:c>
      <x:c r="K66" s="5" t="s">
        <x:v>22</x:v>
      </x:c>
      <x:c r="L66" s="5" t="s">
        <x:v>186</x:v>
      </x:c>
      <x:c r="M66" s="7" t="s">
        <x:v>23</x:v>
      </x:c>
      <x:c r="N66" s="7" t="s">
        <x:v>24</x:v>
      </x:c>
      <x:c r="O66" s="7" t="s">
        <x:v>25</x:v>
      </x:c>
      <x:c r="P66" s="47" t="str">
        <x:v>Y</x:v>
      </x:c>
      <x:c r="Q66" s="48" t="b">
        <x:v>1</x:v>
      </x:c>
      <x:c r="R66" s="47" t="str">
        <x:v>clear</x:v>
      </x:c>
      <x:c r="S66" s="47" t="str">
        <x:v>answer</x:v>
      </x:c>
      <x:c r="T66" s="47" t="str"/>
      <x:c r="U66" s="47" t="str">
        <x:v>[]</x:v>
      </x:c>
      <x:c r="V66" s="47" t="str">
        <x:v>["unclaimed_funds"]</x:v>
      </x:c>
      <x:c r="W66" s="47" t="str">
        <x:v>[]</x:v>
      </x:c>
      <x:c r="X66" s="47" t="str">
        <x:v>[]</x:v>
      </x:c>
      <x:c r="Y66" s="47" t="str">
        <x:v>["UN-003"]</x:v>
      </x:c>
      <x:c r="Z66" s="47" t="str">
        <x:v>["(온라인) 금융안심포털에서 미수령금통합신청"]</x:v>
      </x:c>
      <x:c r="AA66" s="47" t="str"/>
      <x:c r="AB66" s="47" t="str">
        <x:v>Codex 1차 검수</x:v>
      </x:c>
      <x:c r="AC66" s="47" t="str">
        <x:v>2026-07-30</x:v>
      </x:c>
      <x:c r="AD66" s="47" t="str">
        <x:v>v1.1_gold_review</x:v>
      </x:c>
    </x:row>
    <x:row r="67" ht="38.099998474121094" customHeight="1">
      <x:c r="A67" s="7" t="str">
        <x:f t="shared" si="2"/>
        <x:v>N</x:v>
      </x:c>
      <x:c r="B67" s="7" t="s">
        <x:v>265</x:v>
      </x:c>
      <x:c r="C67" s="7" t="s">
        <x:v>266</x:v>
      </x:c>
      <x:c r="D67" s="5" t="s">
        <x:v>267</x:v>
      </x:c>
      <x:c r="E67" s="7" t="s">
        <x:v>216</x:v>
      </x:c>
      <x:c r="F67" s="7" t="s">
        <x:v>182</x:v>
      </x:c>
      <x:c r="G67" s="7" t="s">
        <x:v>140</x:v>
      </x:c>
      <x:c r="H67" s="7" t="s">
        <x:v>20</x:v>
      </x:c>
      <x:c r="I67" s="5" t="s">
        <x:v>22</x:v>
      </x:c>
      <x:c r="J67" s="5" t="s">
        <x:v>22</x:v>
      </x:c>
      <x:c r="K67" s="5" t="s">
        <x:v>22</x:v>
      </x:c>
      <x:c r="L67" s="5" t="s">
        <x:v>22</x:v>
      </x:c>
      <x:c r="M67" s="7"/>
      <x:c r="N67" s="7" t="s">
        <x:v>24</x:v>
      </x:c>
      <x:c r="O67" s="7" t="s">
        <x:v>41</x:v>
      </x:c>
      <x:c r="P67" s="47"/>
      <x:c r="Q67" s="47"/>
      <x:c r="R67" s="47"/>
      <x:c r="S67" s="47"/>
      <x:c r="T67" s="47"/>
      <x:c r="U67" s="47"/>
      <x:c r="V67" s="47"/>
      <x:c r="W67" s="47"/>
      <x:c r="X67" s="47"/>
      <x:c r="Y67" s="47"/>
      <x:c r="Z67" s="47"/>
      <x:c r="AA67" s="47"/>
      <x:c r="AB67" s="47"/>
      <x:c r="AC67" s="47"/>
      <x:c r="AD67" s="47"/>
    </x:row>
    <x:row r="68" ht="38.099998474121094" customHeight="1">
      <x:c r="A68" s="7" t="str">
        <x:f t="shared" si="2"/>
        <x:v>Y</x:v>
      </x:c>
      <x:c r="B68" s="7" t="s">
        <x:v>268</x:v>
      </x:c>
      <x:c r="C68" s="7" t="s">
        <x:v>177</x:v>
      </x:c>
      <x:c r="D68" s="5" t="s">
        <x:v>269</x:v>
      </x:c>
      <x:c r="E68" s="7" t="str">
        <x:v>착오송금 반환지원</x:v>
      </x:c>
      <x:c r="F68" s="7" t="s">
        <x:v>270</x:v>
      </x:c>
      <x:c r="G68" s="7" t="s">
        <x:v>19</x:v>
      </x:c>
      <x:c r="H68" s="7" t="s">
        <x:v>20</x:v>
      </x:c>
      <x:c r="I68" s="5" t="str">
        <x:v>["https://www.kdic.or.kr/sp/kmrs/kmrsItrd/selectScrn.do"]</x:v>
      </x:c>
      <x:c r="J68" s="5" t="s">
        <x:v>271</x:v>
      </x:c>
      <x:c r="K68" s="5" t="s">
        <x:v>22</x:v>
      </x:c>
      <x:c r="L68" s="5" t="s">
        <x:v>271</x:v>
      </x:c>
      <x:c r="M68" s="7" t="s">
        <x:v>23</x:v>
      </x:c>
      <x:c r="N68" s="7" t="s">
        <x:v>24</x:v>
      </x:c>
      <x:c r="O68" s="7" t="s">
        <x:v>25</x:v>
      </x:c>
      <x:c r="P68" s="47" t="str">
        <x:v>Y</x:v>
      </x:c>
      <x:c r="Q68" s="48" t="b">
        <x:v>1</x:v>
      </x:c>
      <x:c r="R68" s="47" t="str">
        <x:v>clear</x:v>
      </x:c>
      <x:c r="S68" s="47" t="str">
        <x:v>answer</x:v>
      </x:c>
      <x:c r="T68" s="47" t="str"/>
      <x:c r="U68" s="47" t="str">
        <x:v>[]</x:v>
      </x:c>
      <x:c r="V68" s="47" t="str">
        <x:v>["mistaken_transfer"]</x:v>
      </x:c>
      <x:c r="W68" s="47" t="str">
        <x:v>[]</x:v>
      </x:c>
      <x:c r="X68" s="47" t="str">
        <x:v>[]</x:v>
      </x:c>
      <x:c r="Y68" s="47" t="str">
        <x:v>["MT-001"]</x:v>
      </x:c>
      <x:c r="Z68" s="47" t="str">
        <x:v>["제도 소개 안내영상"]</x:v>
      </x:c>
      <x:c r="AA68" s="47" t="str"/>
      <x:c r="AB68" s="47" t="str">
        <x:v>Codex 1차 검수</x:v>
      </x:c>
      <x:c r="AC68" s="47" t="str">
        <x:v>2026-07-30</x:v>
      </x:c>
      <x:c r="AD68" s="47" t="str">
        <x:v>v1.1_gold_review</x:v>
      </x:c>
    </x:row>
    <x:row r="69" ht="38.099998474121094" customHeight="1">
      <x:c r="A69" s="7" t="str">
        <x:f t="shared" si="2"/>
        <x:v>Y</x:v>
      </x:c>
      <x:c r="B69" s="7" t="s">
        <x:v>272</x:v>
      </x:c>
      <x:c r="C69" s="7" t="s">
        <x:v>273</x:v>
      </x:c>
      <x:c r="D69" s="5" t="s">
        <x:v>274</x:v>
      </x:c>
      <x:c r="E69" s="7" t="str">
        <x:v>착오송금 반환지원</x:v>
      </x:c>
      <x:c r="F69" s="7" t="s">
        <x:v>270</x:v>
      </x:c>
      <x:c r="G69" s="7" t="s">
        <x:v>19</x:v>
      </x:c>
      <x:c r="H69" s="7" t="s">
        <x:v>20</x:v>
      </x:c>
      <x:c r="I69" s="5" t="str">
        <x:v>["https://www.kdic.or.kr/sp/kmrs/kmrsItrd/selectScrn.do"]</x:v>
      </x:c>
      <x:c r="J69" s="5" t="s">
        <x:v>271</x:v>
      </x:c>
      <x:c r="K69" s="5" t="s">
        <x:v>22</x:v>
      </x:c>
      <x:c r="L69" s="5" t="s">
        <x:v>271</x:v>
      </x:c>
      <x:c r="M69" s="7" t="s">
        <x:v>23</x:v>
      </x:c>
      <x:c r="N69" s="7" t="s">
        <x:v>24</x:v>
      </x:c>
      <x:c r="O69" s="7" t="s">
        <x:v>25</x:v>
      </x:c>
      <x:c r="P69" s="47" t="str">
        <x:v>Y</x:v>
      </x:c>
      <x:c r="Q69" s="48" t="b">
        <x:v>1</x:v>
      </x:c>
      <x:c r="R69" s="47" t="str">
        <x:v>clear</x:v>
      </x:c>
      <x:c r="S69" s="47" t="str">
        <x:v>answer</x:v>
      </x:c>
      <x:c r="T69" s="47" t="str"/>
      <x:c r="U69" s="47" t="str">
        <x:v>[]</x:v>
      </x:c>
      <x:c r="V69" s="47" t="str">
        <x:v>["mistaken_transfer"]</x:v>
      </x:c>
      <x:c r="W69" s="47" t="str">
        <x:v>[]</x:v>
      </x:c>
      <x:c r="X69" s="47" t="str">
        <x:v>[]</x:v>
      </x:c>
      <x:c r="Y69" s="47" t="str">
        <x:v>["MT-001"]</x:v>
      </x:c>
      <x:c r="Z69" s="47" t="str">
        <x:v>["제도 소개 안내영상"]</x:v>
      </x:c>
      <x:c r="AA69" s="47" t="str"/>
      <x:c r="AB69" s="47" t="str">
        <x:v>Codex 1차 검수</x:v>
      </x:c>
      <x:c r="AC69" s="47" t="str">
        <x:v>2026-07-30</x:v>
      </x:c>
      <x:c r="AD69" s="47" t="str">
        <x:v>v1.1_gold_review</x:v>
      </x:c>
    </x:row>
    <x:row r="70" ht="38.099998474121094" customHeight="1">
      <x:c r="A70" s="7" t="str">
        <x:f t="shared" si="2"/>
        <x:v>Y</x:v>
      </x:c>
      <x:c r="B70" s="7" t="s">
        <x:v>275</x:v>
      </x:c>
      <x:c r="C70" s="7" t="s">
        <x:v>276</x:v>
      </x:c>
      <x:c r="D70" s="5" t="s">
        <x:v>277</x:v>
      </x:c>
      <x:c r="E70" s="7" t="str">
        <x:v>착오송금 반환지원</x:v>
      </x:c>
      <x:c r="F70" s="7" t="s">
        <x:v>270</x:v>
      </x:c>
      <x:c r="G70" s="7" t="s">
        <x:v>19</x:v>
      </x:c>
      <x:c r="H70" s="7" t="s">
        <x:v>20</x:v>
      </x:c>
      <x:c r="I70" s="5" t="str">
        <x:v>["https://www.kdic.or.kr/sp/kmrs/kmrsItrdProc/selectScrn.do"]</x:v>
      </x:c>
      <x:c r="J70" s="5" t="s">
        <x:v>278</x:v>
      </x:c>
      <x:c r="K70" s="5" t="s">
        <x:v>22</x:v>
      </x:c>
      <x:c r="L70" s="5" t="s">
        <x:v>278</x:v>
      </x:c>
      <x:c r="M70" s="7" t="s">
        <x:v>23</x:v>
      </x:c>
      <x:c r="N70" s="7" t="s">
        <x:v>24</x:v>
      </x:c>
      <x:c r="O70" s="7" t="s">
        <x:v>25</x:v>
      </x:c>
      <x:c r="P70" s="47" t="str">
        <x:v>Y</x:v>
      </x:c>
      <x:c r="Q70" s="48" t="b">
        <x:v>1</x:v>
      </x:c>
      <x:c r="R70" s="47" t="str">
        <x:v>clear</x:v>
      </x:c>
      <x:c r="S70" s="47" t="str">
        <x:v>answer</x:v>
      </x:c>
      <x:c r="T70" s="47" t="str"/>
      <x:c r="U70" s="47" t="str">
        <x:v>[]</x:v>
      </x:c>
      <x:c r="V70" s="47" t="str">
        <x:v>["mistaken_transfer"]</x:v>
      </x:c>
      <x:c r="W70" s="47" t="str">
        <x:v>[]</x:v>
      </x:c>
      <x:c r="X70" s="47" t="str">
        <x:v>[]</x:v>
      </x:c>
      <x:c r="Y70" s="47" t="str">
        <x:v>["MT-002"]</x:v>
      </x:c>
      <x:c r="Z70" s="47" t="str">
        <x:v>["착오송금반환지원 절차"]</x:v>
      </x:c>
      <x:c r="AA70" s="47" t="str"/>
      <x:c r="AB70" s="47" t="str">
        <x:v>Codex 1차 검수</x:v>
      </x:c>
      <x:c r="AC70" s="47" t="str">
        <x:v>2026-07-30</x:v>
      </x:c>
      <x:c r="AD70" s="47" t="str">
        <x:v>v1.1_gold_review</x:v>
      </x:c>
    </x:row>
    <x:row r="71" ht="38.099998474121094" customHeight="1">
      <x:c r="A71" s="7" t="str">
        <x:f t="shared" si="2"/>
        <x:v>Y</x:v>
      </x:c>
      <x:c r="B71" s="7" t="s">
        <x:v>279</x:v>
      </x:c>
      <x:c r="C71" s="7" t="s">
        <x:v>280</x:v>
      </x:c>
      <x:c r="D71" s="5" t="s">
        <x:v>281</x:v>
      </x:c>
      <x:c r="E71" s="7" t="str">
        <x:v>착오송금 반환지원</x:v>
      </x:c>
      <x:c r="F71" s="7" t="s">
        <x:v>270</x:v>
      </x:c>
      <x:c r="G71" s="7" t="s">
        <x:v>19</x:v>
      </x:c>
      <x:c r="H71" s="7" t="s">
        <x:v>20</x:v>
      </x:c>
      <x:c r="I71" s="5" t="str">
        <x:v>["https://www.kdic.or.kr/sp/kmrs/kmrsItrdProc/selectScrn.do"]</x:v>
      </x:c>
      <x:c r="J71" s="5" t="s">
        <x:v>278</x:v>
      </x:c>
      <x:c r="K71" s="5" t="s">
        <x:v>22</x:v>
      </x:c>
      <x:c r="L71" s="5" t="s">
        <x:v>278</x:v>
      </x:c>
      <x:c r="M71" s="7" t="s">
        <x:v>23</x:v>
      </x:c>
      <x:c r="N71" s="7" t="s">
        <x:v>24</x:v>
      </x:c>
      <x:c r="O71" s="7" t="s">
        <x:v>25</x:v>
      </x:c>
      <x:c r="P71" s="47" t="str">
        <x:v>Y</x:v>
      </x:c>
      <x:c r="Q71" s="48" t="b">
        <x:v>1</x:v>
      </x:c>
      <x:c r="R71" s="47" t="str">
        <x:v>clear</x:v>
      </x:c>
      <x:c r="S71" s="47" t="str">
        <x:v>answer</x:v>
      </x:c>
      <x:c r="T71" s="47" t="str"/>
      <x:c r="U71" s="47" t="str">
        <x:v>[]</x:v>
      </x:c>
      <x:c r="V71" s="47" t="str">
        <x:v>["mistaken_transfer"]</x:v>
      </x:c>
      <x:c r="W71" s="47" t="str">
        <x:v>[]</x:v>
      </x:c>
      <x:c r="X71" s="47" t="str">
        <x:v>[]</x:v>
      </x:c>
      <x:c r="Y71" s="47" t="str">
        <x:v>["MT-002"]</x:v>
      </x:c>
      <x:c r="Z71" s="47" t="str">
        <x:v>["착오송금반환지원 절차"]</x:v>
      </x:c>
      <x:c r="AA71" s="47" t="str"/>
      <x:c r="AB71" s="47" t="str">
        <x:v>Codex 1차 검수</x:v>
      </x:c>
      <x:c r="AC71" s="47" t="str">
        <x:v>2026-07-30</x:v>
      </x:c>
      <x:c r="AD71" s="47" t="str">
        <x:v>v1.1_gold_review</x:v>
      </x:c>
    </x:row>
    <x:row r="72" ht="38.099998474121094" customHeight="1">
      <x:c r="A72" s="7" t="str">
        <x:f t="shared" si="2"/>
        <x:v>Y</x:v>
      </x:c>
      <x:c r="B72" s="7" t="s">
        <x:v>282</x:v>
      </x:c>
      <x:c r="C72" s="7" t="s">
        <x:v>283</x:v>
      </x:c>
      <x:c r="D72" s="5" t="s">
        <x:v>284</x:v>
      </x:c>
      <x:c r="E72" s="7" t="str">
        <x:v>착오송금 반환지원</x:v>
      </x:c>
      <x:c r="F72" s="7" t="s">
        <x:v>270</x:v>
      </x:c>
      <x:c r="G72" s="7" t="s">
        <x:v>32</x:v>
      </x:c>
      <x:c r="H72" s="7" t="s">
        <x:v>20</x:v>
      </x:c>
      <x:c r="I72" s="5" t="str">
        <x:v>["https://www.kdic.or.kr/sp/kmrs/kmrsItrdAplyMthd/selectScrn.do","https://fins.kdic.or.kr/ir/aplygudn/MtrsStutChc/selectScrn.do"]</x:v>
      </x:c>
      <x:c r="J72" s="5" t="s">
        <x:v>285</x:v>
      </x:c>
      <x:c r="K72" s="5" t="s">
        <x:v>286</x:v>
      </x:c>
      <x:c r="L72" s="5" t="s">
        <x:v>287</x:v>
      </x:c>
      <x:c r="M72" s="7" t="s">
        <x:v>39</x:v>
      </x:c>
      <x:c r="N72" s="7" t="s">
        <x:v>40</x:v>
      </x:c>
      <x:c r="O72" s="7" t="s">
        <x:v>25</x:v>
      </x:c>
      <x:c r="P72" s="47" t="str">
        <x:v>Y</x:v>
      </x:c>
      <x:c r="Q72" s="48" t="b">
        <x:v>1</x:v>
      </x:c>
      <x:c r="R72" s="47" t="str">
        <x:v>clear</x:v>
      </x:c>
      <x:c r="S72" s="47" t="str">
        <x:v>answer</x:v>
      </x:c>
      <x:c r="T72" s="47" t="str"/>
      <x:c r="U72" s="47" t="str">
        <x:v>[]</x:v>
      </x:c>
      <x:c r="V72" s="47" t="str">
        <x:v>["mistaken_transfer"]</x:v>
      </x:c>
      <x:c r="W72" s="47" t="str">
        <x:v>[]</x:v>
      </x:c>
      <x:c r="X72" s="47" t="str">
        <x:v>[]</x:v>
      </x:c>
      <x:c r="Y72" s="47" t="str">
        <x:v>["MT-003","MT-011"]</x:v>
      </x:c>
      <x:c r="Z72" s="47" t="str">
        <x:v>["신청방법","상황선택"]</x:v>
      </x:c>
      <x:c r="AA72" s="47" t="str"/>
      <x:c r="AB72" s="47" t="str">
        <x:v>Codex 1차 검수</x:v>
      </x:c>
      <x:c r="AC72" s="47" t="str">
        <x:v>2026-07-30</x:v>
      </x:c>
      <x:c r="AD72" s="47" t="str">
        <x:v>v1.1_gold_review</x:v>
      </x:c>
    </x:row>
    <x:row r="73" ht="38.099998474121094" customHeight="1">
      <x:c r="A73" s="7" t="str">
        <x:f t="shared" si="2"/>
        <x:v>N</x:v>
      </x:c>
      <x:c r="B73" s="7" t="s">
        <x:v>288</x:v>
      </x:c>
      <x:c r="C73" s="7" t="s">
        <x:v>289</x:v>
      </x:c>
      <x:c r="D73" s="5" t="s">
        <x:v>290</x:v>
      </x:c>
      <x:c r="E73" s="7" t="str">
        <x:v>착오송금 반환지원</x:v>
      </x:c>
      <x:c r="F73" s="7" t="s">
        <x:v>270</x:v>
      </x:c>
      <x:c r="G73" s="7" t="s">
        <x:v>32</x:v>
      </x:c>
      <x:c r="H73" s="7" t="s">
        <x:v>20</x:v>
      </x:c>
      <x:c r="I73" s="5" t="str">
        <x:v>[]</x:v>
      </x:c>
      <x:c r="J73" s="5" t="str">
        <x:v>[]</x:v>
      </x:c>
      <x:c r="K73" s="5" t="str">
        <x:v>[]</x:v>
      </x:c>
      <x:c r="L73" s="5" t="str">
        <x:v>[]</x:v>
      </x:c>
      <x:c r="M73" s="7" t="str">
        <x:v>NOT_APPLICABLE</x:v>
      </x:c>
      <x:c r="N73" s="7" t="str">
        <x:v>N</x:v>
      </x:c>
      <x:c r="O73" s="7" t="str">
        <x:v>codex_reviewed_pending_human</x:v>
      </x:c>
      <x:c r="P73" s="47" t="str">
        <x:v>N</x:v>
      </x:c>
      <x:c r="Q73" s="48" t="b">
        <x:v>0</x:v>
      </x:c>
      <x:c r="R73" s="47" t="str">
        <x:v>clear</x:v>
      </x:c>
      <x:c r="S73" s="47" t="str">
        <x:v>answer_with_limitation</x:v>
      </x:c>
      <x:c r="T73" s="47" t="str"/>
      <x:c r="U73" s="47" t="str">
        <x:v>[]</x:v>
      </x:c>
      <x:c r="V73" s="47" t="str">
        <x:v>["mistaken_transfer"]</x:v>
      </x:c>
      <x:c r="W73" s="47" t="str">
        <x:v>[]</x:v>
      </x:c>
      <x:c r="X73" s="47" t="str">
        <x:v>["MT-004_chunk_005"]</x:v>
      </x:c>
      <x:c r="Y73" s="47" t="str">
        <x:v>[]</x:v>
      </x:c>
      <x:c r="Z73" s="47" t="str">
        <x:v>[]</x:v>
      </x:c>
      <x:c r="AA73" s="47" t="str">
        <x:v>온라인과 방문 신청의 처리속도를 비교하는 근거가 없으며 전체 처리기간 청크만 존재.</x:v>
      </x:c>
      <x:c r="AB73" s="47" t="str">
        <x:v>Codex 1차 검수</x:v>
      </x:c>
      <x:c r="AC73" s="47" t="str">
        <x:v>2026-07-30</x:v>
      </x:c>
      <x:c r="AD73" s="47" t="str">
        <x:v>v1.1_gold_review</x:v>
      </x:c>
    </x:row>
    <x:row r="74" ht="38.099998474121094" customHeight="1">
      <x:c r="A74" s="7" t="str">
        <x:f t="shared" si="2"/>
        <x:v>Y</x:v>
      </x:c>
      <x:c r="B74" s="7" t="s">
        <x:v>291</x:v>
      </x:c>
      <x:c r="C74" s="7" t="s">
        <x:v>292</x:v>
      </x:c>
      <x:c r="D74" s="5" t="s">
        <x:v>293</x:v>
      </x:c>
      <x:c r="E74" s="7" t="str">
        <x:v>착오송금 반환지원</x:v>
      </x:c>
      <x:c r="F74" s="7" t="s">
        <x:v>270</x:v>
      </x:c>
      <x:c r="G74" s="7" t="s">
        <x:v>19</x:v>
      </x:c>
      <x:c r="H74" s="7" t="s">
        <x:v>20</x:v>
      </x:c>
      <x:c r="I74" s="5" t="str">
        <x:v>["https://fins.kdic.or.kr/cm/bbs/selectFaqMsdrGvbkAply.do"]</x:v>
      </x:c>
      <x:c r="J74" s="5" t="s">
        <x:v>294</x:v>
      </x:c>
      <x:c r="K74" s="5" t="s">
        <x:v>22</x:v>
      </x:c>
      <x:c r="L74" s="5" t="s">
        <x:v>294</x:v>
      </x:c>
      <x:c r="M74" s="7" t="s">
        <x:v>23</x:v>
      </x:c>
      <x:c r="N74" s="7" t="s">
        <x:v>24</x:v>
      </x:c>
      <x:c r="O74" s="7" t="s">
        <x:v>41</x:v>
      </x:c>
      <x:c r="P74" s="47" t="str">
        <x:v>Y</x:v>
      </x:c>
      <x:c r="Q74" s="48" t="b">
        <x:v>1</x:v>
      </x:c>
      <x:c r="R74" s="47" t="str">
        <x:v>clear</x:v>
      </x:c>
      <x:c r="S74" s="47" t="str">
        <x:v>answer</x:v>
      </x:c>
      <x:c r="T74" s="47" t="str"/>
      <x:c r="U74" s="47" t="str">
        <x:v>[]</x:v>
      </x:c>
      <x:c r="V74" s="47" t="str">
        <x:v>["mistaken_transfer"]</x:v>
      </x:c>
      <x:c r="W74" s="47" t="str">
        <x:v>[]</x:v>
      </x:c>
      <x:c r="X74" s="47" t="str">
        <x:v>[]</x:v>
      </x:c>
      <x:c r="Y74" s="47" t="str">
        <x:v>["MT-004"]</x:v>
      </x:c>
      <x:c r="Z74" s="47" t="str">
        <x:v>["착오송금 반환지원 대상 금액은 얼마까지인가요?"]</x:v>
      </x:c>
      <x:c r="AA74" s="47" t="str"/>
      <x:c r="AB74" s="47" t="str">
        <x:v>Codex 1차 검수</x:v>
      </x:c>
      <x:c r="AC74" s="47" t="str">
        <x:v>2026-07-30</x:v>
      </x:c>
      <x:c r="AD74" s="47" t="str">
        <x:v>v1.1_gold_review</x:v>
      </x:c>
    </x:row>
    <x:row r="75" ht="38.099998474121094" customHeight="1">
      <x:c r="A75" s="7" t="str">
        <x:f t="shared" si="2"/>
        <x:v>Y</x:v>
      </x:c>
      <x:c r="B75" s="7" t="s">
        <x:v>295</x:v>
      </x:c>
      <x:c r="C75" s="7" t="s">
        <x:v>296</x:v>
      </x:c>
      <x:c r="D75" s="5" t="s">
        <x:v>297</x:v>
      </x:c>
      <x:c r="E75" s="7" t="str">
        <x:v>착오송금 반환지원</x:v>
      </x:c>
      <x:c r="F75" s="7" t="s">
        <x:v>270</x:v>
      </x:c>
      <x:c r="G75" s="7" t="s">
        <x:v>19</x:v>
      </x:c>
      <x:c r="H75" s="7" t="s">
        <x:v>20</x:v>
      </x:c>
      <x:c r="I75" s="5" t="str">
        <x:v>["https://fins.kdic.or.kr/cm/bbs/selectFaqMsdrGvbkAply.do"]</x:v>
      </x:c>
      <x:c r="J75" s="5" t="s">
        <x:v>298</x:v>
      </x:c>
      <x:c r="K75" s="5" t="s">
        <x:v>22</x:v>
      </x:c>
      <x:c r="L75" s="5" t="s">
        <x:v>298</x:v>
      </x:c>
      <x:c r="M75" s="7" t="s">
        <x:v>23</x:v>
      </x:c>
      <x:c r="N75" s="7" t="s">
        <x:v>24</x:v>
      </x:c>
      <x:c r="O75" s="7" t="s">
        <x:v>41</x:v>
      </x:c>
      <x:c r="P75" s="47" t="str">
        <x:v>Y</x:v>
      </x:c>
      <x:c r="Q75" s="48" t="b">
        <x:v>1</x:v>
      </x:c>
      <x:c r="R75" s="47" t="str">
        <x:v>clear</x:v>
      </x:c>
      <x:c r="S75" s="47" t="str">
        <x:v>answer</x:v>
      </x:c>
      <x:c r="T75" s="47" t="str"/>
      <x:c r="U75" s="47" t="str">
        <x:v>[]</x:v>
      </x:c>
      <x:c r="V75" s="47" t="str">
        <x:v>["mistaken_transfer"]</x:v>
      </x:c>
      <x:c r="W75" s="47" t="str">
        <x:v>[]</x:v>
      </x:c>
      <x:c r="X75" s="47" t="str">
        <x:v>[]</x:v>
      </x:c>
      <x:c r="Y75" s="47" t="str">
        <x:v>["MT-004"]</x:v>
      </x:c>
      <x:c r="Z75" s="47" t="str">
        <x:v>["착오송금 발생 이후 언제까지 신청을 해야 하나요?"]</x:v>
      </x:c>
      <x:c r="AA75" s="47" t="str"/>
      <x:c r="AB75" s="47" t="str">
        <x:v>Codex 1차 검수</x:v>
      </x:c>
      <x:c r="AC75" s="47" t="str">
        <x:v>2026-07-30</x:v>
      </x:c>
      <x:c r="AD75" s="47" t="str">
        <x:v>v1.1_gold_review</x:v>
      </x:c>
    </x:row>
    <x:row r="76" ht="38.099998474121094" customHeight="1">
      <x:c r="A76" s="7" t="str">
        <x:f t="shared" si="2"/>
        <x:v>Y</x:v>
      </x:c>
      <x:c r="B76" s="7" t="s">
        <x:v>299</x:v>
      </x:c>
      <x:c r="C76" s="7" t="s">
        <x:v>300</x:v>
      </x:c>
      <x:c r="D76" s="5" t="s">
        <x:v>301</x:v>
      </x:c>
      <x:c r="E76" s="7" t="str">
        <x:v>착오송금 반환지원</x:v>
      </x:c>
      <x:c r="F76" s="7" t="s">
        <x:v>270</x:v>
      </x:c>
      <x:c r="G76" s="7" t="s">
        <x:v>19</x:v>
      </x:c>
      <x:c r="H76" s="7" t="s">
        <x:v>20</x:v>
      </x:c>
      <x:c r="I76" s="5" t="str">
        <x:v>["https://fins.kdic.or.kr/cm/bbs/selectFaqMsdrGvbkAply.do"]</x:v>
      </x:c>
      <x:c r="J76" s="5" t="s">
        <x:v>302</x:v>
      </x:c>
      <x:c r="K76" s="5" t="s">
        <x:v>22</x:v>
      </x:c>
      <x:c r="L76" s="5" t="s">
        <x:v>302</x:v>
      </x:c>
      <x:c r="M76" s="7" t="s">
        <x:v>23</x:v>
      </x:c>
      <x:c r="N76" s="7" t="s">
        <x:v>24</x:v>
      </x:c>
      <x:c r="O76" s="7" t="s">
        <x:v>41</x:v>
      </x:c>
      <x:c r="P76" s="47" t="str">
        <x:v>Y</x:v>
      </x:c>
      <x:c r="Q76" s="48" t="b">
        <x:v>1</x:v>
      </x:c>
      <x:c r="R76" s="47" t="str">
        <x:v>clear</x:v>
      </x:c>
      <x:c r="S76" s="47" t="str">
        <x:v>answer</x:v>
      </x:c>
      <x:c r="T76" s="47" t="str"/>
      <x:c r="U76" s="47" t="str">
        <x:v>[]</x:v>
      </x:c>
      <x:c r="V76" s="47" t="str">
        <x:v>["mistaken_transfer"]</x:v>
      </x:c>
      <x:c r="W76" s="47" t="str">
        <x:v>[]</x:v>
      </x:c>
      <x:c r="X76" s="47" t="str">
        <x:v>[]</x:v>
      </x:c>
      <x:c r="Y76" s="47" t="str">
        <x:v>["MT-004"]</x:v>
      </x:c>
      <x:c r="Z76" s="47" t="str">
        <x:v>["그 외에도 착오송금 반환지원 대상이 아닌 경우에는 어떤 것이 해당되나요?"]</x:v>
      </x:c>
      <x:c r="AA76" s="47" t="str"/>
      <x:c r="AB76" s="47" t="str">
        <x:v>Codex 1차 검수</x:v>
      </x:c>
      <x:c r="AC76" s="47" t="str">
        <x:v>2026-07-30</x:v>
      </x:c>
      <x:c r="AD76" s="47" t="str">
        <x:v>v1.1_gold_review</x:v>
      </x:c>
    </x:row>
    <x:row r="77" ht="38.099998474121094" customHeight="1">
      <x:c r="A77" s="7" t="str">
        <x:f t="shared" si="2"/>
        <x:v>N</x:v>
      </x:c>
      <x:c r="B77" s="7" t="s">
        <x:v>303</x:v>
      </x:c>
      <x:c r="C77" s="7" t="s">
        <x:v>304</x:v>
      </x:c>
      <x:c r="D77" s="5" t="s">
        <x:v>305</x:v>
      </x:c>
      <x:c r="E77" s="7" t="str">
        <x:v>착오송금 반환지원</x:v>
      </x:c>
      <x:c r="F77" s="7" t="s">
        <x:v>270</x:v>
      </x:c>
      <x:c r="G77" s="7" t="s">
        <x:v>32</x:v>
      </x:c>
      <x:c r="H77" s="7" t="s">
        <x:v>20</x:v>
      </x:c>
      <x:c r="I77" s="5" t="str">
        <x:v>["https://fins.kdic.or.kr/cm/bbs/selectFaqTop10.do"]</x:v>
      </x:c>
      <x:c r="J77" s="5" t="s">
        <x:v>306</x:v>
      </x:c>
      <x:c r="K77" s="5" t="s">
        <x:v>22</x:v>
      </x:c>
      <x:c r="L77" s="5" t="s">
        <x:v>306</x:v>
      </x:c>
      <x:c r="M77" s="7" t="s">
        <x:v>117</x:v>
      </x:c>
      <x:c r="N77" s="7" t="s">
        <x:v>40</x:v>
      </x:c>
      <x:c r="O77" s="7" t="str">
        <x:v>codex_reviewed_pending_human</x:v>
      </x:c>
      <x:c r="P77" s="47" t="str">
        <x:v>N</x:v>
      </x:c>
      <x:c r="Q77" s="48" t="b">
        <x:v>1</x:v>
      </x:c>
      <x:c r="R77" s="47" t="str">
        <x:v>clear</x:v>
      </x:c>
      <x:c r="S77" s="47" t="str">
        <x:v>show_faq_list</x:v>
      </x:c>
      <x:c r="T77" s="47" t="str"/>
      <x:c r="U77" s="47" t="str">
        <x:v>[]</x:v>
      </x:c>
      <x:c r="V77" s="47" t="str">
        <x:v>["mistaken_transfer"]</x:v>
      </x:c>
      <x:c r="W77" s="47" t="str">
        <x:v>[]</x:v>
      </x:c>
      <x:c r="X77" s="47" t="str">
        <x:v>["MT-005_chunk_000","MT-005_chunk_001","MT-005_chunk_002","MT-005_chunk_003","MT-005_chunk_004","MT-005_chunk_005","MT-005_chunk_006","MT-005_chunk_007","MT-005_chunk_008","MT-005_chunk_009"]</x:v>
      </x:c>
      <x:c r="Y77" s="47" t="str">
        <x:v>["MT-005"]</x:v>
      </x:c>
      <x:c r="Z77" s="47" t="str">
        <x:v>["1. 착오송금 반환지원 신청 접수부터 실제 반환까지 예상되는 소요 기간은 어떻게 되나요?","2. 그 외에도 착오송금 반환지원 대상이 아닌 경우에는 어떤 것이 해당되나요?","3. 착오송금 반환지원 대상 금액은 얼마까지인가요?","4. 반환지원 적용 대상이 되는 송금·수취기관은 어디인가요?","5. 온라인으로만 착오송금 반환지원 신청이 가능한가요?","6. 상속인금융거래조회기간은 어떻게 되나요?","7. 보이스피싱 피해도 착오송금 반환지원 신청이 가능한가요?","8. 착오송금 발생 이후 언제까지 신청을 해야 하나요?","9. 금융회사를 통한 반환절차를 거치지 않고 착오송금 즉시 예보에 반환지원 신청이 가능한가요?","10. Toss나 카카오페이와 같이 간편송금을 통해 발생한 착오송금도 지원대상이 되나요?"]</x:v>
      </x:c>
      <x:c r="AA77" s="47" t="str">
        <x:v>FAQ 10개 목록 제공 기능 문항. Top-5 검색평가가 아닌 UI·기능 테스트로 분리.</x:v>
      </x:c>
      <x:c r="AB77" s="47" t="str">
        <x:v>Codex 1차 검수</x:v>
      </x:c>
      <x:c r="AC77" s="47" t="str">
        <x:v>2026-07-30</x:v>
      </x:c>
      <x:c r="AD77" s="47" t="str">
        <x:v>v1.1_gold_review</x:v>
      </x:c>
    </x:row>
    <x:row r="78" ht="38.099998474121094" customHeight="1">
      <x:c r="A78" s="7" t="str">
        <x:f t="shared" si="2"/>
        <x:v>N</x:v>
      </x:c>
      <x:c r="B78" s="7" t="s">
        <x:v>307</x:v>
      </x:c>
      <x:c r="C78" s="7" t="s">
        <x:v>308</x:v>
      </x:c>
      <x:c r="D78" s="5" t="s">
        <x:v>309</x:v>
      </x:c>
      <x:c r="E78" s="7" t="str">
        <x:v>착오송금 반환지원</x:v>
      </x:c>
      <x:c r="F78" s="7" t="s">
        <x:v>270</x:v>
      </x:c>
      <x:c r="G78" s="7" t="s">
        <x:v>32</x:v>
      </x:c>
      <x:c r="H78" s="7" t="s">
        <x:v>20</x:v>
      </x:c>
      <x:c r="I78" s="5" t="str">
        <x:v>["https://fins.kdic.or.kr/cm/bbs/selectFaqTop10.do"]</x:v>
      </x:c>
      <x:c r="J78" s="5" t="s">
        <x:v>306</x:v>
      </x:c>
      <x:c r="K78" s="5" t="s">
        <x:v>22</x:v>
      </x:c>
      <x:c r="L78" s="5" t="s">
        <x:v>306</x:v>
      </x:c>
      <x:c r="M78" s="7" t="s">
        <x:v>117</x:v>
      </x:c>
      <x:c r="N78" s="7" t="s">
        <x:v>40</x:v>
      </x:c>
      <x:c r="O78" s="7" t="str">
        <x:v>codex_reviewed_pending_human</x:v>
      </x:c>
      <x:c r="P78" s="47" t="str">
        <x:v>N</x:v>
      </x:c>
      <x:c r="Q78" s="48" t="b">
        <x:v>1</x:v>
      </x:c>
      <x:c r="R78" s="47" t="str">
        <x:v>clear</x:v>
      </x:c>
      <x:c r="S78" s="47" t="str">
        <x:v>show_faq_list</x:v>
      </x:c>
      <x:c r="T78" s="47" t="str"/>
      <x:c r="U78" s="47" t="str">
        <x:v>[]</x:v>
      </x:c>
      <x:c r="V78" s="47" t="str">
        <x:v>["mistaken_transfer"]</x:v>
      </x:c>
      <x:c r="W78" s="47" t="str">
        <x:v>[]</x:v>
      </x:c>
      <x:c r="X78" s="47" t="str">
        <x:v>["MT-005_chunk_000","MT-005_chunk_001","MT-005_chunk_002","MT-005_chunk_003","MT-005_chunk_004","MT-005_chunk_005","MT-005_chunk_006","MT-005_chunk_007","MT-005_chunk_008","MT-005_chunk_009"]</x:v>
      </x:c>
      <x:c r="Y78" s="47" t="str">
        <x:v>["MT-005"]</x:v>
      </x:c>
      <x:c r="Z78" s="47" t="str">
        <x:v>["1. 착오송금 반환지원 신청 접수부터 실제 반환까지 예상되는 소요 기간은 어떻게 되나요?","2. 그 외에도 착오송금 반환지원 대상이 아닌 경우에는 어떤 것이 해당되나요?","3. 착오송금 반환지원 대상 금액은 얼마까지인가요?","4. 반환지원 적용 대상이 되는 송금·수취기관은 어디인가요?","5. 온라인으로만 착오송금 반환지원 신청이 가능한가요?","6. 상속인금융거래조회기간은 어떻게 되나요?","7. 보이스피싱 피해도 착오송금 반환지원 신청이 가능한가요?","8. 착오송금 발생 이후 언제까지 신청을 해야 하나요?","9. 금융회사를 통한 반환절차를 거치지 않고 착오송금 즉시 예보에 반환지원 신청이 가능한가요?","10. Toss나 카카오페이와 같이 간편송금을 통해 발생한 착오송금도 지원대상이 되나요?"]</x:v>
      </x:c>
      <x:c r="AA78" s="47" t="str">
        <x:v>FAQ 10개 목록 제공 기능 문항. Top-5 검색평가가 아닌 UI·기능 테스트로 분리.</x:v>
      </x:c>
      <x:c r="AB78" s="47" t="str">
        <x:v>Codex 1차 검수</x:v>
      </x:c>
      <x:c r="AC78" s="47" t="str">
        <x:v>2026-07-30</x:v>
      </x:c>
      <x:c r="AD78" s="47" t="str">
        <x:v>v1.1_gold_review</x:v>
      </x:c>
    </x:row>
    <x:row r="79" ht="38.099998474121094" customHeight="1">
      <x:c r="A79" s="7" t="str">
        <x:f t="shared" si="2"/>
        <x:v>Y</x:v>
      </x:c>
      <x:c r="B79" s="7" t="s">
        <x:v>310</x:v>
      </x:c>
      <x:c r="C79" s="7" t="s">
        <x:v>311</x:v>
      </x:c>
      <x:c r="D79" s="5" t="s">
        <x:v>312</x:v>
      </x:c>
      <x:c r="E79" s="7" t="str">
        <x:v>착오송금 반환지원</x:v>
      </x:c>
      <x:c r="F79" s="7" t="s">
        <x:v>270</x:v>
      </x:c>
      <x:c r="G79" s="7" t="s">
        <x:v>71</x:v>
      </x:c>
      <x:c r="H79" s="7" t="s">
        <x:v>20</x:v>
      </x:c>
      <x:c r="I79" s="5" t="str">
        <x:v>["https://fins.kdic.or.kr/ir/addrse/AddrseAttnMttr/selectScrn.do","https://fins.kdic.or.kr/ir/aplygudn/MsdrAddrsePossDcmntGudn/selectScrn.do"]</x:v>
      </x:c>
      <x:c r="J79" s="5" t="str">
        <x:v>["MT-006_chunk_000"]</x:v>
      </x:c>
      <x:c r="K79" s="5" t="str">
        <x:v>["MT-007_chunk_000"]</x:v>
      </x:c>
      <x:c r="L79" s="5" t="str">
        <x:v>["MT-006_chunk_000","MT-007_chunk_000"]</x:v>
      </x:c>
      <x:c r="M79" s="7" t="str">
        <x:v>PRIMARY_ONLY</x:v>
      </x:c>
      <x:c r="N79" s="7" t="str">
        <x:v>N</x:v>
      </x:c>
      <x:c r="O79" s="7" t="str">
        <x:v>codex_reviewed_pending_human</x:v>
      </x:c>
      <x:c r="P79" s="47" t="str">
        <x:v>Y</x:v>
      </x:c>
      <x:c r="Q79" s="48" t="b">
        <x:v>1</x:v>
      </x:c>
      <x:c r="R79" s="47" t="str">
        <x:v>clear</x:v>
      </x:c>
      <x:c r="S79" s="47" t="str">
        <x:v>answer</x:v>
      </x:c>
      <x:c r="T79" s="47" t="str"/>
      <x:c r="U79" s="47" t="str">
        <x:v>[]</x:v>
      </x:c>
      <x:c r="V79" s="47" t="str">
        <x:v>["mistaken_transfer"]</x:v>
      </x:c>
      <x:c r="W79" s="47" t="str">
        <x:v>[]</x:v>
      </x:c>
      <x:c r="X79" s="47" t="str">
        <x:v>[]</x:v>
      </x:c>
      <x:c r="Y79" s="47" t="str">
        <x:v>["MT-006","MT-007"]</x:v>
      </x:c>
      <x:c r="Z79" s="47" t="str">
        <x:v>["착오송금 수취인 유의사항","착오송금 수취인 구비서류 안내"]</x:v>
      </x:c>
      <x:c r="AA79" s="47" t="str">
        <x:v>기한은 유의사항 청크만 필수이며 서류 청크는 보조 근거로 정리.</x:v>
      </x:c>
      <x:c r="AB79" s="47" t="str">
        <x:v>Codex 1차 검수</x:v>
      </x:c>
      <x:c r="AC79" s="47" t="str">
        <x:v>2026-07-30</x:v>
      </x:c>
      <x:c r="AD79" s="47" t="str">
        <x:v>v1.1_gold_review</x:v>
      </x:c>
    </x:row>
    <x:row r="80" ht="38.099998474121094" customHeight="1">
      <x:c r="A80" s="7" t="str">
        <x:f t="shared" si="2"/>
        <x:v>Y</x:v>
      </x:c>
      <x:c r="B80" s="7" t="s">
        <x:v>313</x:v>
      </x:c>
      <x:c r="C80" s="7" t="s">
        <x:v>314</x:v>
      </x:c>
      <x:c r="D80" s="5" t="s">
        <x:v>315</x:v>
      </x:c>
      <x:c r="E80" s="7" t="str">
        <x:v>착오송금 반환지원</x:v>
      </x:c>
      <x:c r="F80" s="7" t="s">
        <x:v>270</x:v>
      </x:c>
      <x:c r="G80" s="7" t="s">
        <x:v>71</x:v>
      </x:c>
      <x:c r="H80" s="7" t="s">
        <x:v>20</x:v>
      </x:c>
      <x:c r="I80" s="5" t="str">
        <x:v>["https://fins.kdic.or.kr/ir/addrse/AddrseAttnMttr/selectScrn.do"]</x:v>
      </x:c>
      <x:c r="J80" s="5" t="s">
        <x:v>316</x:v>
      </x:c>
      <x:c r="K80" s="5" t="s">
        <x:v>22</x:v>
      </x:c>
      <x:c r="L80" s="5" t="s">
        <x:v>316</x:v>
      </x:c>
      <x:c r="M80" s="7" t="s">
        <x:v>23</x:v>
      </x:c>
      <x:c r="N80" s="7" t="s">
        <x:v>24</x:v>
      </x:c>
      <x:c r="O80" s="7" t="s">
        <x:v>25</x:v>
      </x:c>
      <x:c r="P80" s="47" t="str">
        <x:v>Y</x:v>
      </x:c>
      <x:c r="Q80" s="48" t="b">
        <x:v>1</x:v>
      </x:c>
      <x:c r="R80" s="47" t="str">
        <x:v>clear</x:v>
      </x:c>
      <x:c r="S80" s="47" t="str">
        <x:v>answer</x:v>
      </x:c>
      <x:c r="T80" s="47" t="str"/>
      <x:c r="U80" s="47" t="str">
        <x:v>[]</x:v>
      </x:c>
      <x:c r="V80" s="47" t="str">
        <x:v>["mistaken_transfer"]</x:v>
      </x:c>
      <x:c r="W80" s="47" t="str">
        <x:v>[]</x:v>
      </x:c>
      <x:c r="X80" s="47" t="str">
        <x:v>[]</x:v>
      </x:c>
      <x:c r="Y80" s="47" t="str">
        <x:v>["MT-006"]</x:v>
      </x:c>
      <x:c r="Z80" s="47" t="str">
        <x:v>["착오송금 수취인 유의사항"]</x:v>
      </x:c>
      <x:c r="AA80" s="47" t="str"/>
      <x:c r="AB80" s="47" t="str">
        <x:v>Codex 1차 검수</x:v>
      </x:c>
      <x:c r="AC80" s="47" t="str">
        <x:v>2026-07-30</x:v>
      </x:c>
      <x:c r="AD80" s="47" t="str">
        <x:v>v1.1_gold_review</x:v>
      </x:c>
    </x:row>
    <x:row r="81" ht="38.099998474121094" customHeight="1">
      <x:c r="A81" s="7" t="str">
        <x:f t="shared" si="2"/>
        <x:v>Y</x:v>
      </x:c>
      <x:c r="B81" s="7" t="s">
        <x:v>317</x:v>
      </x:c>
      <x:c r="C81" s="7" t="s">
        <x:v>318</x:v>
      </x:c>
      <x:c r="D81" s="5" t="s">
        <x:v>319</x:v>
      </x:c>
      <x:c r="E81" s="7" t="str">
        <x:v>착오송금 반환지원</x:v>
      </x:c>
      <x:c r="F81" s="7" t="s">
        <x:v>270</x:v>
      </x:c>
      <x:c r="G81" s="7" t="s">
        <x:v>32</x:v>
      </x:c>
      <x:c r="H81" s="7" t="s">
        <x:v>20</x:v>
      </x:c>
      <x:c r="I81" s="5" t="str">
        <x:v>["https://fins.kdic.or.kr/ir/addrse/AddrseAttnMttr/selectScrn.do","https://fins.kdic.or.kr/ir/aplygudn/MsdrAddrsePossDcmntGudn/selectScrn.do"]</x:v>
      </x:c>
      <x:c r="J81" s="5" t="s">
        <x:v>316</x:v>
      </x:c>
      <x:c r="K81" s="5" t="s">
        <x:v>320</x:v>
      </x:c>
      <x:c r="L81" s="5" t="s">
        <x:v>321</x:v>
      </x:c>
      <x:c r="M81" s="7" t="s">
        <x:v>23</x:v>
      </x:c>
      <x:c r="N81" s="7" t="s">
        <x:v>24</x:v>
      </x:c>
      <x:c r="O81" s="7" t="s">
        <x:v>25</x:v>
      </x:c>
      <x:c r="P81" s="47" t="str">
        <x:v>Y</x:v>
      </x:c>
      <x:c r="Q81" s="48" t="b">
        <x:v>1</x:v>
      </x:c>
      <x:c r="R81" s="47" t="str">
        <x:v>clear</x:v>
      </x:c>
      <x:c r="S81" s="47" t="str">
        <x:v>answer</x:v>
      </x:c>
      <x:c r="T81" s="47" t="str"/>
      <x:c r="U81" s="47" t="str">
        <x:v>[]</x:v>
      </x:c>
      <x:c r="V81" s="47" t="str">
        <x:v>["mistaken_transfer"]</x:v>
      </x:c>
      <x:c r="W81" s="47" t="str">
        <x:v>[]</x:v>
      </x:c>
      <x:c r="X81" s="47" t="str">
        <x:v>[]</x:v>
      </x:c>
      <x:c r="Y81" s="47" t="str">
        <x:v>["MT-006","MT-007"]</x:v>
      </x:c>
      <x:c r="Z81" s="47" t="str">
        <x:v>["착오송금 수취인 유의사항","착오송금 수취인 구비서류 안내"]</x:v>
      </x:c>
      <x:c r="AA81" s="47" t="str"/>
      <x:c r="AB81" s="47" t="str">
        <x:v>Codex 1차 검수</x:v>
      </x:c>
      <x:c r="AC81" s="47" t="str">
        <x:v>2026-07-30</x:v>
      </x:c>
      <x:c r="AD81" s="47" t="str">
        <x:v>v1.1_gold_review</x:v>
      </x:c>
    </x:row>
    <x:row r="82" ht="38.099998474121094" customHeight="1">
      <x:c r="A82" s="7" t="str">
        <x:f t="shared" si="2"/>
        <x:v>Y</x:v>
      </x:c>
      <x:c r="B82" s="7" t="s">
        <x:v>322</x:v>
      </x:c>
      <x:c r="C82" s="7" t="s">
        <x:v>323</x:v>
      </x:c>
      <x:c r="D82" s="5" t="s">
        <x:v>324</x:v>
      </x:c>
      <x:c r="E82" s="7" t="str">
        <x:v>착오송금 반환지원</x:v>
      </x:c>
      <x:c r="F82" s="7" t="s">
        <x:v>270</x:v>
      </x:c>
      <x:c r="G82" s="7" t="s">
        <x:v>71</x:v>
      </x:c>
      <x:c r="H82" s="7" t="s">
        <x:v>20</x:v>
      </x:c>
      <x:c r="I82" s="5" t="str">
        <x:v>["https://fins.kdic.or.kr/ir/aplygudn/MsdrAddrsePossDcmntGudn/selectScrn.do"]</x:v>
      </x:c>
      <x:c r="J82" s="5" t="s">
        <x:v>320</x:v>
      </x:c>
      <x:c r="K82" s="5" t="s">
        <x:v>22</x:v>
      </x:c>
      <x:c r="L82" s="5" t="s">
        <x:v>320</x:v>
      </x:c>
      <x:c r="M82" s="7" t="s">
        <x:v>23</x:v>
      </x:c>
      <x:c r="N82" s="7" t="s">
        <x:v>24</x:v>
      </x:c>
      <x:c r="O82" s="7" t="s">
        <x:v>25</x:v>
      </x:c>
      <x:c r="P82" s="47" t="str">
        <x:v>Y</x:v>
      </x:c>
      <x:c r="Q82" s="48" t="b">
        <x:v>1</x:v>
      </x:c>
      <x:c r="R82" s="47" t="str">
        <x:v>clear</x:v>
      </x:c>
      <x:c r="S82" s="47" t="str">
        <x:v>answer</x:v>
      </x:c>
      <x:c r="T82" s="47" t="str"/>
      <x:c r="U82" s="47" t="str">
        <x:v>[]</x:v>
      </x:c>
      <x:c r="V82" s="47" t="str">
        <x:v>["mistaken_transfer"]</x:v>
      </x:c>
      <x:c r="W82" s="47" t="str">
        <x:v>[]</x:v>
      </x:c>
      <x:c r="X82" s="47" t="str">
        <x:v>[]</x:v>
      </x:c>
      <x:c r="Y82" s="47" t="str">
        <x:v>["MT-007"]</x:v>
      </x:c>
      <x:c r="Z82" s="47" t="str">
        <x:v>["착오송금 수취인 구비서류 안내"]</x:v>
      </x:c>
      <x:c r="AA82" s="47" t="str"/>
      <x:c r="AB82" s="47" t="str">
        <x:v>Codex 1차 검수</x:v>
      </x:c>
      <x:c r="AC82" s="47" t="str">
        <x:v>2026-07-30</x:v>
      </x:c>
      <x:c r="AD82" s="47" t="str">
        <x:v>v1.1_gold_review</x:v>
      </x:c>
    </x:row>
    <x:row r="83" ht="38.099998474121094" customHeight="1">
      <x:c r="A83" s="7" t="str">
        <x:f t="shared" si="2"/>
        <x:v>Y</x:v>
      </x:c>
      <x:c r="B83" s="7" t="s">
        <x:v>325</x:v>
      </x:c>
      <x:c r="C83" s="7" t="s">
        <x:v>326</x:v>
      </x:c>
      <x:c r="D83" s="5" t="s">
        <x:v>327</x:v>
      </x:c>
      <x:c r="E83" s="7" t="str">
        <x:v>착오송금 반환지원</x:v>
      </x:c>
      <x:c r="F83" s="7" t="s">
        <x:v>270</x:v>
      </x:c>
      <x:c r="G83" s="7" t="s">
        <x:v>19</x:v>
      </x:c>
      <x:c r="H83" s="7" t="s">
        <x:v>20</x:v>
      </x:c>
      <x:c r="I83" s="5" t="str">
        <x:v>["https://fins.kdic.or.kr/ir/aplygudn/MsdrAddrsePossDcmntGudn/selectScrn.do"]</x:v>
      </x:c>
      <x:c r="J83" s="5" t="s">
        <x:v>320</x:v>
      </x:c>
      <x:c r="K83" s="5" t="s">
        <x:v>22</x:v>
      </x:c>
      <x:c r="L83" s="5" t="s">
        <x:v>320</x:v>
      </x:c>
      <x:c r="M83" s="7" t="s">
        <x:v>23</x:v>
      </x:c>
      <x:c r="N83" s="7" t="s">
        <x:v>24</x:v>
      </x:c>
      <x:c r="O83" s="7" t="s">
        <x:v>25</x:v>
      </x:c>
      <x:c r="P83" s="47" t="str">
        <x:v>Y</x:v>
      </x:c>
      <x:c r="Q83" s="48" t="b">
        <x:v>1</x:v>
      </x:c>
      <x:c r="R83" s="47" t="str">
        <x:v>clear</x:v>
      </x:c>
      <x:c r="S83" s="47" t="str">
        <x:v>answer</x:v>
      </x:c>
      <x:c r="T83" s="47" t="str"/>
      <x:c r="U83" s="47" t="str">
        <x:v>[]</x:v>
      </x:c>
      <x:c r="V83" s="47" t="str">
        <x:v>["mistaken_transfer"]</x:v>
      </x:c>
      <x:c r="W83" s="47" t="str">
        <x:v>[]</x:v>
      </x:c>
      <x:c r="X83" s="47" t="str">
        <x:v>[]</x:v>
      </x:c>
      <x:c r="Y83" s="47" t="str">
        <x:v>["MT-007"]</x:v>
      </x:c>
      <x:c r="Z83" s="47" t="str">
        <x:v>["착오송금 수취인 구비서류 안내"]</x:v>
      </x:c>
      <x:c r="AA83" s="47" t="str"/>
      <x:c r="AB83" s="47" t="str">
        <x:v>Codex 1차 검수</x:v>
      </x:c>
      <x:c r="AC83" s="47" t="str">
        <x:v>2026-07-30</x:v>
      </x:c>
      <x:c r="AD83" s="47" t="str">
        <x:v>v1.1_gold_review</x:v>
      </x:c>
    </x:row>
    <x:row r="84" ht="38.099998474121094" customHeight="1">
      <x:c r="A84" s="7" t="str">
        <x:f t="shared" si="2"/>
        <x:v>Y</x:v>
      </x:c>
      <x:c r="B84" s="7" t="s">
        <x:v>328</x:v>
      </x:c>
      <x:c r="C84" s="7" t="s">
        <x:v>329</x:v>
      </x:c>
      <x:c r="D84" s="5" t="s">
        <x:v>330</x:v>
      </x:c>
      <x:c r="E84" s="7" t="str">
        <x:v>착오송금 반환지원</x:v>
      </x:c>
      <x:c r="F84" s="7" t="s">
        <x:v>270</x:v>
      </x:c>
      <x:c r="G84" s="7" t="s">
        <x:v>71</x:v>
      </x:c>
      <x:c r="H84" s="7" t="s">
        <x:v>20</x:v>
      </x:c>
      <x:c r="I84" s="5" t="str">
        <x:v>["https://fins.kdic.or.kr/ir/aplygudn/MsdrprPossDcmntGudn/selectScrn.do"]</x:v>
      </x:c>
      <x:c r="J84" s="5" t="s">
        <x:v>331</x:v>
      </x:c>
      <x:c r="K84" s="5" t="s">
        <x:v>22</x:v>
      </x:c>
      <x:c r="L84" s="5" t="s">
        <x:v>331</x:v>
      </x:c>
      <x:c r="M84" s="7" t="s">
        <x:v>23</x:v>
      </x:c>
      <x:c r="N84" s="7" t="s">
        <x:v>24</x:v>
      </x:c>
      <x:c r="O84" s="7" t="s">
        <x:v>25</x:v>
      </x:c>
      <x:c r="P84" s="47" t="str">
        <x:v>Y</x:v>
      </x:c>
      <x:c r="Q84" s="48" t="b">
        <x:v>1</x:v>
      </x:c>
      <x:c r="R84" s="47" t="str">
        <x:v>clear</x:v>
      </x:c>
      <x:c r="S84" s="47" t="str">
        <x:v>answer</x:v>
      </x:c>
      <x:c r="T84" s="47" t="str"/>
      <x:c r="U84" s="47" t="str">
        <x:v>[]</x:v>
      </x:c>
      <x:c r="V84" s="47" t="str">
        <x:v>["mistaken_transfer"]</x:v>
      </x:c>
      <x:c r="W84" s="47" t="str">
        <x:v>[]</x:v>
      </x:c>
      <x:c r="X84" s="47" t="str">
        <x:v>[]</x:v>
      </x:c>
      <x:c r="Y84" s="47" t="str">
        <x:v>["MT-008"]</x:v>
      </x:c>
      <x:c r="Z84" s="47" t="str">
        <x:v>["대리인 &gt; 추가 서류 &gt; 법인을 대리하는 경우"]</x:v>
      </x:c>
      <x:c r="AA84" s="47" t="str"/>
      <x:c r="AB84" s="47" t="str">
        <x:v>Codex 1차 검수</x:v>
      </x:c>
      <x:c r="AC84" s="47" t="str">
        <x:v>2026-07-30</x:v>
      </x:c>
      <x:c r="AD84" s="47" t="str">
        <x:v>v1.1_gold_review</x:v>
      </x:c>
    </x:row>
    <x:row r="85" ht="38.099998474121094" customHeight="1">
      <x:c r="A85" s="7" t="str">
        <x:f t="shared" si="2"/>
        <x:v>Y</x:v>
      </x:c>
      <x:c r="B85" s="7" t="s">
        <x:v>332</x:v>
      </x:c>
      <x:c r="C85" s="7" t="s">
        <x:v>333</x:v>
      </x:c>
      <x:c r="D85" s="5" t="s">
        <x:v>334</x:v>
      </x:c>
      <x:c r="E85" s="7" t="str">
        <x:v>착오송금 반환지원</x:v>
      </x:c>
      <x:c r="F85" s="7" t="s">
        <x:v>270</x:v>
      </x:c>
      <x:c r="G85" s="7" t="s">
        <x:v>32</x:v>
      </x:c>
      <x:c r="H85" s="7" t="s">
        <x:v>20</x:v>
      </x:c>
      <x:c r="I85" s="5" t="str">
        <x:v>["https://fins.kdic.or.kr/ir/aplygudn/MsdrprPossDcmntGudn/selectScrn.do"]</x:v>
      </x:c>
      <x:c r="J85" s="5" t="s">
        <x:v>335</x:v>
      </x:c>
      <x:c r="K85" s="5" t="s">
        <x:v>22</x:v>
      </x:c>
      <x:c r="L85" s="5" t="s">
        <x:v>335</x:v>
      </x:c>
      <x:c r="M85" s="7" t="s">
        <x:v>117</x:v>
      </x:c>
      <x:c r="N85" s="7" t="s">
        <x:v>40</x:v>
      </x:c>
      <x:c r="O85" s="7" t="s">
        <x:v>25</x:v>
      </x:c>
      <x:c r="P85" s="47" t="str">
        <x:v>Y</x:v>
      </x:c>
      <x:c r="Q85" s="48" t="b">
        <x:v>1</x:v>
      </x:c>
      <x:c r="R85" s="47" t="str">
        <x:v>clear</x:v>
      </x:c>
      <x:c r="S85" s="47" t="str">
        <x:v>answer</x:v>
      </x:c>
      <x:c r="T85" s="47" t="str"/>
      <x:c r="U85" s="47" t="str">
        <x:v>[]</x:v>
      </x:c>
      <x:c r="V85" s="47" t="str">
        <x:v>["mistaken_transfer"]</x:v>
      </x:c>
      <x:c r="W85" s="47" t="str">
        <x:v>[]</x:v>
      </x:c>
      <x:c r="X85" s="47" t="str">
        <x:v>[]</x:v>
      </x:c>
      <x:c r="Y85" s="47" t="str">
        <x:v>["MT-008"]</x:v>
      </x:c>
      <x:c r="Z85" s="47" t="str">
        <x:v>["본인 &gt; 공통 서류","대리인 &gt; 공통 서류"]</x:v>
      </x:c>
      <x:c r="AA85" s="47" t="str"/>
      <x:c r="AB85" s="47" t="str">
        <x:v>Codex 1차 검수</x:v>
      </x:c>
      <x:c r="AC85" s="47" t="str">
        <x:v>2026-07-30</x:v>
      </x:c>
      <x:c r="AD85" s="47" t="str">
        <x:v>v1.1_gold_review</x:v>
      </x:c>
    </x:row>
    <x:row r="86" ht="38.099998474121094" customHeight="1">
      <x:c r="A86" s="7" t="str">
        <x:f t="shared" si="2"/>
        <x:v>Y</x:v>
      </x:c>
      <x:c r="B86" s="7" t="s">
        <x:v>336</x:v>
      </x:c>
      <x:c r="C86" s="7" t="s">
        <x:v>337</x:v>
      </x:c>
      <x:c r="D86" s="5" t="s">
        <x:v>338</x:v>
      </x:c>
      <x:c r="E86" s="7" t="str">
        <x:v>착오송금 반환지원</x:v>
      </x:c>
      <x:c r="F86" s="7" t="s">
        <x:v>270</x:v>
      </x:c>
      <x:c r="G86" s="7" t="s">
        <x:v>32</x:v>
      </x:c>
      <x:c r="H86" s="7" t="s">
        <x:v>72</x:v>
      </x:c>
      <x:c r="I86" s="5" t="str">
        <x:v>["https://fins.kdic.or.kr/ir/aplygudn/MtrsGvbkSprtProc/selectScrn.do"]</x:v>
      </x:c>
      <x:c r="J86" s="5" t="s">
        <x:v>339</x:v>
      </x:c>
      <x:c r="K86" s="5" t="s">
        <x:v>22</x:v>
      </x:c>
      <x:c r="L86" s="5" t="s">
        <x:v>339</x:v>
      </x:c>
      <x:c r="M86" s="7" t="s">
        <x:v>23</x:v>
      </x:c>
      <x:c r="N86" s="7" t="s">
        <x:v>24</x:v>
      </x:c>
      <x:c r="O86" s="7" t="s">
        <x:v>25</x:v>
      </x:c>
      <x:c r="P86" s="47" t="str">
        <x:v>Y</x:v>
      </x:c>
      <x:c r="Q86" s="48" t="b">
        <x:v>1</x:v>
      </x:c>
      <x:c r="R86" s="47" t="str">
        <x:v>clear</x:v>
      </x:c>
      <x:c r="S86" s="47" t="str">
        <x:v>answer</x:v>
      </x:c>
      <x:c r="T86" s="47" t="str"/>
      <x:c r="U86" s="47" t="str">
        <x:v>[]</x:v>
      </x:c>
      <x:c r="V86" s="47" t="str">
        <x:v>["mistaken_transfer"]</x:v>
      </x:c>
      <x:c r="W86" s="47" t="str">
        <x:v>[]</x:v>
      </x:c>
      <x:c r="X86" s="47" t="str">
        <x:v>[]</x:v>
      </x:c>
      <x:c r="Y86" s="47" t="str">
        <x:v>["MT-009"]</x:v>
      </x:c>
      <x:c r="Z86" s="47" t="str">
        <x:v>["착오송금 반환지원의 절차"]</x:v>
      </x:c>
      <x:c r="AA86" s="47" t="str"/>
      <x:c r="AB86" s="47" t="str">
        <x:v>Codex 1차 검수</x:v>
      </x:c>
      <x:c r="AC86" s="47" t="str">
        <x:v>2026-07-30</x:v>
      </x:c>
      <x:c r="AD86" s="47" t="str">
        <x:v>v1.1_gold_review</x:v>
      </x:c>
    </x:row>
    <x:row r="87" ht="38.099998474121094" customHeight="1">
      <x:c r="A87" s="7" t="str">
        <x:f t="shared" si="2"/>
        <x:v>Y</x:v>
      </x:c>
      <x:c r="B87" s="7" t="s">
        <x:v>340</x:v>
      </x:c>
      <x:c r="C87" s="7" t="s">
        <x:v>341</x:v>
      </x:c>
      <x:c r="D87" s="5" t="s">
        <x:v>342</x:v>
      </x:c>
      <x:c r="E87" s="7" t="str">
        <x:v>착오송금 반환지원</x:v>
      </x:c>
      <x:c r="F87" s="7" t="s">
        <x:v>270</x:v>
      </x:c>
      <x:c r="G87" s="7" t="s">
        <x:v>32</x:v>
      </x:c>
      <x:c r="H87" s="7" t="s">
        <x:v>72</x:v>
      </x:c>
      <x:c r="I87" s="5" t="str">
        <x:v>["https://fins.kdic.or.kr/ir/aplygudn/MtrsGvbkSprtProc/selectScrn.do"]</x:v>
      </x:c>
      <x:c r="J87" s="5" t="s">
        <x:v>339</x:v>
      </x:c>
      <x:c r="K87" s="5" t="s">
        <x:v>22</x:v>
      </x:c>
      <x:c r="L87" s="5" t="s">
        <x:v>339</x:v>
      </x:c>
      <x:c r="M87" s="7" t="s">
        <x:v>23</x:v>
      </x:c>
      <x:c r="N87" s="7" t="s">
        <x:v>24</x:v>
      </x:c>
      <x:c r="O87" s="7" t="s">
        <x:v>25</x:v>
      </x:c>
      <x:c r="P87" s="47" t="str">
        <x:v>Y</x:v>
      </x:c>
      <x:c r="Q87" s="48" t="b">
        <x:v>1</x:v>
      </x:c>
      <x:c r="R87" s="47" t="str">
        <x:v>clear</x:v>
      </x:c>
      <x:c r="S87" s="47" t="str">
        <x:v>answer</x:v>
      </x:c>
      <x:c r="T87" s="47" t="str"/>
      <x:c r="U87" s="47" t="str">
        <x:v>[]</x:v>
      </x:c>
      <x:c r="V87" s="47" t="str">
        <x:v>["mistaken_transfer"]</x:v>
      </x:c>
      <x:c r="W87" s="47" t="str">
        <x:v>[]</x:v>
      </x:c>
      <x:c r="X87" s="47" t="str">
        <x:v>[]</x:v>
      </x:c>
      <x:c r="Y87" s="47" t="str">
        <x:v>["MT-009"]</x:v>
      </x:c>
      <x:c r="Z87" s="47" t="str">
        <x:v>["착오송금 반환지원의 절차"]</x:v>
      </x:c>
      <x:c r="AA87" s="47" t="str"/>
      <x:c r="AB87" s="47" t="str">
        <x:v>Codex 1차 검수</x:v>
      </x:c>
      <x:c r="AC87" s="47" t="str">
        <x:v>2026-07-30</x:v>
      </x:c>
      <x:c r="AD87" s="47" t="str">
        <x:v>v1.1_gold_review</x:v>
      </x:c>
    </x:row>
    <x:row r="88" ht="38.099998474121094" customHeight="1">
      <x:c r="A88" s="7" t="str">
        <x:f t="shared" si="2"/>
        <x:v>Y</x:v>
      </x:c>
      <x:c r="B88" s="7" t="s">
        <x:v>343</x:v>
      </x:c>
      <x:c r="C88" s="7" t="s">
        <x:v>344</x:v>
      </x:c>
      <x:c r="D88" s="5" t="s">
        <x:v>345</x:v>
      </x:c>
      <x:c r="E88" s="7" t="str">
        <x:v>착오송금 반환지원</x:v>
      </x:c>
      <x:c r="F88" s="7" t="s">
        <x:v>270</x:v>
      </x:c>
      <x:c r="G88" s="7" t="s">
        <x:v>32</x:v>
      </x:c>
      <x:c r="H88" s="7" t="s">
        <x:v>91</x:v>
      </x:c>
      <x:c r="I88" s="5" t="str">
        <x:v>["https://fins.kdic.or.kr/ir/aplygudn/MtrsRelLawoRgul/selectScrn.do"]</x:v>
      </x:c>
      <x:c r="J88" s="5" t="s">
        <x:v>346</x:v>
      </x:c>
      <x:c r="K88" s="5" t="s">
        <x:v>347</x:v>
      </x:c>
      <x:c r="L88" s="5" t="s">
        <x:v>348</x:v>
      </x:c>
      <x:c r="M88" s="7" t="s">
        <x:v>117</x:v>
      </x:c>
      <x:c r="N88" s="7" t="s">
        <x:v>40</x:v>
      </x:c>
      <x:c r="O88" s="7" t="s">
        <x:v>41</x:v>
      </x:c>
      <x:c r="P88" s="47" t="str">
        <x:v>Y</x:v>
      </x:c>
      <x:c r="Q88" s="48" t="b">
        <x:v>1</x:v>
      </x:c>
      <x:c r="R88" s="47" t="str">
        <x:v>clear</x:v>
      </x:c>
      <x:c r="S88" s="47" t="str">
        <x:v>answer</x:v>
      </x:c>
      <x:c r="T88" s="47" t="str"/>
      <x:c r="U88" s="47" t="str">
        <x:v>[]</x:v>
      </x:c>
      <x:c r="V88" s="47" t="str">
        <x:v>["mistaken_transfer"]</x:v>
      </x:c>
      <x:c r="W88" s="47" t="str">
        <x:v>[]</x:v>
      </x:c>
      <x:c r="X88" s="47" t="str">
        <x:v>[]</x:v>
      </x:c>
      <x:c r="Y88" s="47" t="str">
        <x:v>["MT-010"]</x:v>
      </x:c>
      <x:c r="Z88" s="47" t="str">
        <x:v>["예금자보호법","예금자보호법 시행령","착오송금반환지원 규정","착오송금반환지원 시행세칙"]</x:v>
      </x:c>
      <x:c r="AA88" s="47" t="str"/>
      <x:c r="AB88" s="47" t="str">
        <x:v>Codex 1차 검수</x:v>
      </x:c>
      <x:c r="AC88" s="47" t="str">
        <x:v>2026-07-30</x:v>
      </x:c>
      <x:c r="AD88" s="47" t="str">
        <x:v>v1.1_gold_review</x:v>
      </x:c>
    </x:row>
    <x:row r="89" ht="38.099998474121094" customHeight="1">
      <x:c r="A89" s="7" t="str">
        <x:f t="shared" si="2"/>
        <x:v>Y</x:v>
      </x:c>
      <x:c r="B89" s="7" t="s">
        <x:v>349</x:v>
      </x:c>
      <x:c r="C89" s="7" t="s">
        <x:v>350</x:v>
      </x:c>
      <x:c r="D89" s="5" t="s">
        <x:v>351</x:v>
      </x:c>
      <x:c r="E89" s="7" t="str">
        <x:v>착오송금 반환지원</x:v>
      </x:c>
      <x:c r="F89" s="7" t="s">
        <x:v>270</x:v>
      </x:c>
      <x:c r="G89" s="7" t="s">
        <x:v>32</x:v>
      </x:c>
      <x:c r="H89" s="7" t="s">
        <x:v>91</x:v>
      </x:c>
      <x:c r="I89" s="5" t="str">
        <x:v>["https://fins.kdic.or.kr/ir/aplygudn/MtrsRelLawoRgul/selectScrn.do"]</x:v>
      </x:c>
      <x:c r="J89" s="5" t="s">
        <x:v>347</x:v>
      </x:c>
      <x:c r="K89" s="5" t="s">
        <x:v>22</x:v>
      </x:c>
      <x:c r="L89" s="5" t="s">
        <x:v>347</x:v>
      </x:c>
      <x:c r="M89" s="7" t="s">
        <x:v>117</x:v>
      </x:c>
      <x:c r="N89" s="7" t="s">
        <x:v>40</x:v>
      </x:c>
      <x:c r="O89" s="7" t="s">
        <x:v>25</x:v>
      </x:c>
      <x:c r="P89" s="47" t="str">
        <x:v>Y</x:v>
      </x:c>
      <x:c r="Q89" s="48" t="b">
        <x:v>1</x:v>
      </x:c>
      <x:c r="R89" s="47" t="str">
        <x:v>clear</x:v>
      </x:c>
      <x:c r="S89" s="47" t="str">
        <x:v>answer</x:v>
      </x:c>
      <x:c r="T89" s="47" t="str"/>
      <x:c r="U89" s="47" t="str">
        <x:v>[]</x:v>
      </x:c>
      <x:c r="V89" s="47" t="str">
        <x:v>["mistaken_transfer"]</x:v>
      </x:c>
      <x:c r="W89" s="47" t="str">
        <x:v>[]</x:v>
      </x:c>
      <x:c r="X89" s="47" t="str">
        <x:v>[]</x:v>
      </x:c>
      <x:c r="Y89" s="47" t="str">
        <x:v>["MT-010"]</x:v>
      </x:c>
      <x:c r="Z89" s="47" t="str">
        <x:v>["착오송금반환지원 규정","착오송금반환지원 시행세칙"]</x:v>
      </x:c>
      <x:c r="AA89" s="47" t="str"/>
      <x:c r="AB89" s="47" t="str">
        <x:v>Codex 1차 검수</x:v>
      </x:c>
      <x:c r="AC89" s="47" t="str">
        <x:v>2026-07-30</x:v>
      </x:c>
      <x:c r="AD89" s="47" t="str">
        <x:v>v1.1_gold_review</x:v>
      </x:c>
    </x:row>
    <x:row r="90" ht="38.099998474121094" customHeight="1">
      <x:c r="A90" s="7" t="str">
        <x:f t="shared" si="2"/>
        <x:v>Y</x:v>
      </x:c>
      <x:c r="B90" s="7" t="s">
        <x:v>352</x:v>
      </x:c>
      <x:c r="C90" s="7" t="s">
        <x:v>353</x:v>
      </x:c>
      <x:c r="D90" s="5" t="s">
        <x:v>354</x:v>
      </x:c>
      <x:c r="E90" s="7" t="str">
        <x:v>착오송금 반환지원</x:v>
      </x:c>
      <x:c r="F90" s="7" t="s">
        <x:v>270</x:v>
      </x:c>
      <x:c r="G90" s="7" t="s">
        <x:v>71</x:v>
      </x:c>
      <x:c r="H90" s="7" t="s">
        <x:v>72</x:v>
      </x:c>
      <x:c r="I90" s="5" t="str">
        <x:v>["https://fins.kdic.or.kr/ir/aplygudn/MtrsStutChc/selectScrn.do"]</x:v>
      </x:c>
      <x:c r="J90" s="5" t="s">
        <x:v>286</x:v>
      </x:c>
      <x:c r="K90" s="5" t="s">
        <x:v>22</x:v>
      </x:c>
      <x:c r="L90" s="5" t="s">
        <x:v>286</x:v>
      </x:c>
      <x:c r="M90" s="7" t="s">
        <x:v>23</x:v>
      </x:c>
      <x:c r="N90" s="7" t="s">
        <x:v>24</x:v>
      </x:c>
      <x:c r="O90" s="7" t="s">
        <x:v>25</x:v>
      </x:c>
      <x:c r="P90" s="47" t="str">
        <x:v>Y</x:v>
      </x:c>
      <x:c r="Q90" s="48" t="b">
        <x:v>1</x:v>
      </x:c>
      <x:c r="R90" s="47" t="str">
        <x:v>clear</x:v>
      </x:c>
      <x:c r="S90" s="47" t="str">
        <x:v>answer</x:v>
      </x:c>
      <x:c r="T90" s="47" t="str"/>
      <x:c r="U90" s="47" t="str">
        <x:v>[]</x:v>
      </x:c>
      <x:c r="V90" s="47" t="str">
        <x:v>["mistaken_transfer"]</x:v>
      </x:c>
      <x:c r="W90" s="47" t="str">
        <x:v>[]</x:v>
      </x:c>
      <x:c r="X90" s="47" t="str">
        <x:v>[]</x:v>
      </x:c>
      <x:c r="Y90" s="47" t="str">
        <x:v>["MT-011"]</x:v>
      </x:c>
      <x:c r="Z90" s="47" t="str">
        <x:v>["상황선택"]</x:v>
      </x:c>
      <x:c r="AA90" s="47" t="str"/>
      <x:c r="AB90" s="47" t="str">
        <x:v>Codex 1차 검수</x:v>
      </x:c>
      <x:c r="AC90" s="47" t="str">
        <x:v>2026-07-30</x:v>
      </x:c>
      <x:c r="AD90" s="47" t="str">
        <x:v>v1.1_gold_review</x:v>
      </x:c>
    </x:row>
    <x:row r="91" ht="38.099998474121094" customHeight="1">
      <x:c r="A91" s="7" t="str">
        <x:f t="shared" si="2"/>
        <x:v>Y</x:v>
      </x:c>
      <x:c r="B91" s="7" t="s">
        <x:v>355</x:v>
      </x:c>
      <x:c r="C91" s="7" t="s">
        <x:v>356</x:v>
      </x:c>
      <x:c r="D91" s="5" t="s">
        <x:v>357</x:v>
      </x:c>
      <x:c r="E91" s="7" t="str">
        <x:v>착오송금 반환지원</x:v>
      </x:c>
      <x:c r="F91" s="7" t="s">
        <x:v>270</x:v>
      </x:c>
      <x:c r="G91" s="7" t="s">
        <x:v>71</x:v>
      </x:c>
      <x:c r="H91" s="7" t="s">
        <x:v>72</x:v>
      </x:c>
      <x:c r="I91" s="5" t="str">
        <x:v>["https://fins.kdic.or.kr/ir/aplygudn/MtrsStutChc/selectScrn.do"]</x:v>
      </x:c>
      <x:c r="J91" s="5" t="s">
        <x:v>286</x:v>
      </x:c>
      <x:c r="K91" s="5" t="s">
        <x:v>22</x:v>
      </x:c>
      <x:c r="L91" s="5" t="s">
        <x:v>286</x:v>
      </x:c>
      <x:c r="M91" s="7" t="s">
        <x:v>23</x:v>
      </x:c>
      <x:c r="N91" s="7" t="s">
        <x:v>24</x:v>
      </x:c>
      <x:c r="O91" s="7" t="s">
        <x:v>25</x:v>
      </x:c>
      <x:c r="P91" s="47" t="str">
        <x:v>Y</x:v>
      </x:c>
      <x:c r="Q91" s="48" t="b">
        <x:v>1</x:v>
      </x:c>
      <x:c r="R91" s="47" t="str">
        <x:v>clear</x:v>
      </x:c>
      <x:c r="S91" s="47" t="str">
        <x:v>answer</x:v>
      </x:c>
      <x:c r="T91" s="47" t="str"/>
      <x:c r="U91" s="47" t="str">
        <x:v>[]</x:v>
      </x:c>
      <x:c r="V91" s="47" t="str">
        <x:v>["mistaken_transfer"]</x:v>
      </x:c>
      <x:c r="W91" s="47" t="str">
        <x:v>[]</x:v>
      </x:c>
      <x:c r="X91" s="47" t="str">
        <x:v>[]</x:v>
      </x:c>
      <x:c r="Y91" s="47" t="str">
        <x:v>["MT-011"]</x:v>
      </x:c>
      <x:c r="Z91" s="47" t="str">
        <x:v>["상황선택"]</x:v>
      </x:c>
      <x:c r="AA91" s="47" t="str"/>
      <x:c r="AB91" s="47" t="str">
        <x:v>Codex 1차 검수</x:v>
      </x:c>
      <x:c r="AC91" s="47" t="str">
        <x:v>2026-07-30</x:v>
      </x:c>
      <x:c r="AD91" s="47" t="str">
        <x:v>v1.1_gold_review</x:v>
      </x:c>
    </x:row>
    <x:row r="92" ht="38.099998474121094" customHeight="1">
      <x:c r="A92" s="7" t="str">
        <x:f t="shared" si="2"/>
        <x:v>Y</x:v>
      </x:c>
      <x:c r="B92" s="7" t="s">
        <x:v>358</x:v>
      </x:c>
      <x:c r="C92" s="7" t="s">
        <x:v>359</x:v>
      </x:c>
      <x:c r="D92" s="5" t="s">
        <x:v>360</x:v>
      </x:c>
      <x:c r="E92" s="7" t="str">
        <x:v>착오송금 반환지원</x:v>
      </x:c>
      <x:c r="F92" s="7" t="s">
        <x:v>270</x:v>
      </x:c>
      <x:c r="G92" s="7" t="s">
        <x:v>19</x:v>
      </x:c>
      <x:c r="H92" s="7" t="s">
        <x:v>72</x:v>
      </x:c>
      <x:c r="I92" s="5" t="str">
        <x:v>["https://fins.kdic.or.kr/ir/aplygudn/MtrsVstRcptGudn/selectScrn.do"]</x:v>
      </x:c>
      <x:c r="J92" s="5" t="s">
        <x:v>361</x:v>
      </x:c>
      <x:c r="K92" s="5" t="s">
        <x:v>22</x:v>
      </x:c>
      <x:c r="L92" s="5" t="s">
        <x:v>361</x:v>
      </x:c>
      <x:c r="M92" s="7" t="s">
        <x:v>23</x:v>
      </x:c>
      <x:c r="N92" s="7" t="s">
        <x:v>24</x:v>
      </x:c>
      <x:c r="O92" s="7" t="s">
        <x:v>25</x:v>
      </x:c>
      <x:c r="P92" s="47" t="str">
        <x:v>Y</x:v>
      </x:c>
      <x:c r="Q92" s="48" t="b">
        <x:v>1</x:v>
      </x:c>
      <x:c r="R92" s="47" t="str">
        <x:v>clear</x:v>
      </x:c>
      <x:c r="S92" s="47" t="str">
        <x:v>answer</x:v>
      </x:c>
      <x:c r="T92" s="47" t="str"/>
      <x:c r="U92" s="47" t="str">
        <x:v>[]</x:v>
      </x:c>
      <x:c r="V92" s="47" t="str">
        <x:v>["mistaken_transfer"]</x:v>
      </x:c>
      <x:c r="W92" s="47" t="str">
        <x:v>[]</x:v>
      </x:c>
      <x:c r="X92" s="47" t="str">
        <x:v>[]</x:v>
      </x:c>
      <x:c r="Y92" s="47" t="str">
        <x:v>["MT-012"]</x:v>
      </x:c>
      <x:c r="Z92" s="47" t="str">
        <x:v>["방문접수 절차"]</x:v>
      </x:c>
      <x:c r="AA92" s="47" t="str"/>
      <x:c r="AB92" s="47" t="str">
        <x:v>Codex 1차 검수</x:v>
      </x:c>
      <x:c r="AC92" s="47" t="str">
        <x:v>2026-07-30</x:v>
      </x:c>
      <x:c r="AD92" s="47" t="str">
        <x:v>v1.1_gold_review</x:v>
      </x:c>
    </x:row>
    <x:row r="93" ht="38.099998474121094" customHeight="1">
      <x:c r="A93" s="7" t="str">
        <x:f t="shared" si="2"/>
        <x:v>Y</x:v>
      </x:c>
      <x:c r="B93" s="7" t="s">
        <x:v>362</x:v>
      </x:c>
      <x:c r="C93" s="7" t="s">
        <x:v>363</x:v>
      </x:c>
      <x:c r="D93" s="5" t="s">
        <x:v>364</x:v>
      </x:c>
      <x:c r="E93" s="7" t="str">
        <x:v>착오송금 반환지원</x:v>
      </x:c>
      <x:c r="F93" s="7" t="s">
        <x:v>270</x:v>
      </x:c>
      <x:c r="G93" s="7" t="s">
        <x:v>19</x:v>
      </x:c>
      <x:c r="H93" s="7" t="s">
        <x:v>72</x:v>
      </x:c>
      <x:c r="I93" s="5" t="str">
        <x:v>["https://fins.kdic.or.kr/ir/aplygudn/MtrsVstRcptGudn/selectScrn.do"]</x:v>
      </x:c>
      <x:c r="J93" s="5" t="s">
        <x:v>365</x:v>
      </x:c>
      <x:c r="K93" s="5" t="s">
        <x:v>22</x:v>
      </x:c>
      <x:c r="L93" s="5" t="s">
        <x:v>365</x:v>
      </x:c>
      <x:c r="M93" s="7" t="s">
        <x:v>23</x:v>
      </x:c>
      <x:c r="N93" s="7" t="s">
        <x:v>24</x:v>
      </x:c>
      <x:c r="O93" s="7" t="s">
        <x:v>25</x:v>
      </x:c>
      <x:c r="P93" s="47" t="str">
        <x:v>Y</x:v>
      </x:c>
      <x:c r="Q93" s="48" t="b">
        <x:v>1</x:v>
      </x:c>
      <x:c r="R93" s="47" t="str">
        <x:v>clear</x:v>
      </x:c>
      <x:c r="S93" s="47" t="str">
        <x:v>answer</x:v>
      </x:c>
      <x:c r="T93" s="47" t="str"/>
      <x:c r="U93" s="47" t="str">
        <x:v>[]</x:v>
      </x:c>
      <x:c r="V93" s="47" t="str">
        <x:v>["mistaken_transfer"]</x:v>
      </x:c>
      <x:c r="W93" s="47" t="str">
        <x:v>[]</x:v>
      </x:c>
      <x:c r="X93" s="47" t="str">
        <x:v>[]</x:v>
      </x:c>
      <x:c r="Y93" s="47" t="str">
        <x:v>["MT-012"]</x:v>
      </x:c>
      <x:c r="Z93" s="47" t="str">
        <x:v>["센터 안내"]</x:v>
      </x:c>
      <x:c r="AA93" s="47" t="str"/>
      <x:c r="AB93" s="47" t="str">
        <x:v>Codex 1차 검수</x:v>
      </x:c>
      <x:c r="AC93" s="47" t="str">
        <x:v>2026-07-30</x:v>
      </x:c>
      <x:c r="AD93" s="47" t="str">
        <x:v>v1.1_gold_review</x:v>
      </x:c>
    </x:row>
    <x:row r="94" ht="38.099998474121094" customHeight="1">
      <x:c r="A94" s="7" t="str">
        <x:f t="shared" si="2"/>
        <x:v>Y</x:v>
      </x:c>
      <x:c r="B94" s="7" t="s">
        <x:v>366</x:v>
      </x:c>
      <x:c r="C94" s="7" t="s">
        <x:v>367</x:v>
      </x:c>
      <x:c r="D94" s="5" t="s">
        <x:v>368</x:v>
      </x:c>
      <x:c r="E94" s="7" t="str">
        <x:v>착오송금 반환지원</x:v>
      </x:c>
      <x:c r="F94" s="7" t="s">
        <x:v>270</x:v>
      </x:c>
      <x:c r="G94" s="7" t="s">
        <x:v>32</x:v>
      </x:c>
      <x:c r="H94" s="7" t="s">
        <x:v>20</x:v>
      </x:c>
      <x:c r="I94" s="5" t="str">
        <x:v>["https://fins.kdic.or.kr/ir/msdrpr/MsdrprAttnMttr/selectScrn.do"]</x:v>
      </x:c>
      <x:c r="J94" s="5" t="str">
        <x:v>["MT-013_chunk_000"]</x:v>
      </x:c>
      <x:c r="K94" s="5" t="str">
        <x:v>[]</x:v>
      </x:c>
      <x:c r="L94" s="5" t="str">
        <x:v>["MT-013_chunk_000"]</x:v>
      </x:c>
      <x:c r="M94" s="7" t="str">
        <x:v>PRIMARY_ONLY</x:v>
      </x:c>
      <x:c r="N94" s="7" t="str">
        <x:v>N</x:v>
      </x:c>
      <x:c r="O94" s="7" t="str">
        <x:v>codex_reviewed_pending_human</x:v>
      </x:c>
      <x:c r="P94" s="47" t="str">
        <x:v>Y</x:v>
      </x:c>
      <x:c r="Q94" s="48" t="b">
        <x:v>1</x:v>
      </x:c>
      <x:c r="R94" s="47" t="str">
        <x:v>clear</x:v>
      </x:c>
      <x:c r="S94" s="47" t="str">
        <x:v>answer</x:v>
      </x:c>
      <x:c r="T94" s="47" t="str"/>
      <x:c r="U94" s="47" t="str">
        <x:v>[]</x:v>
      </x:c>
      <x:c r="V94" s="47" t="str">
        <x:v>["mistaken_transfer"]</x:v>
      </x:c>
      <x:c r="W94" s="47" t="str">
        <x:v>[]</x:v>
      </x:c>
      <x:c r="X94" s="47" t="str">
        <x:v>[]</x:v>
      </x:c>
      <x:c r="Y94" s="47" t="str">
        <x:v>["MT-013"]</x:v>
      </x:c>
      <x:c r="Z94" s="47" t="str">
        <x:v>["착오송금반환지원 신청 대상"]</x:v>
      </x:c>
      <x:c r="AA94" s="47" t="str">
        <x:v>금액 질문에서 제외 대상 청크를 제거.</x:v>
      </x:c>
      <x:c r="AB94" s="47" t="str">
        <x:v>Codex 1차 검수</x:v>
      </x:c>
      <x:c r="AC94" s="47" t="str">
        <x:v>2026-07-30</x:v>
      </x:c>
      <x:c r="AD94" s="47" t="str">
        <x:v>v1.1_gold_review</x:v>
      </x:c>
    </x:row>
    <x:row r="95" ht="38.099998474121094" customHeight="1">
      <x:c r="A95" s="7" t="str">
        <x:f t="shared" si="2"/>
        <x:v>Y</x:v>
      </x:c>
      <x:c r="B95" s="7" t="s">
        <x:v>369</x:v>
      </x:c>
      <x:c r="C95" s="7" t="s">
        <x:v>370</x:v>
      </x:c>
      <x:c r="D95" s="5" t="s">
        <x:v>371</x:v>
      </x:c>
      <x:c r="E95" s="7" t="str">
        <x:v>착오송금 반환지원</x:v>
      </x:c>
      <x:c r="F95" s="7" t="s">
        <x:v>270</x:v>
      </x:c>
      <x:c r="G95" s="7" t="s">
        <x:v>32</x:v>
      </x:c>
      <x:c r="H95" s="7" t="s">
        <x:v>20</x:v>
      </x:c>
      <x:c r="I95" s="5" t="str">
        <x:v>["https://fins.kdic.or.kr/ir/msdrpr/MsdrprAttnMttr/selectScrn.do"]</x:v>
      </x:c>
      <x:c r="J95" s="5" t="s">
        <x:v>372</x:v>
      </x:c>
      <x:c r="K95" s="5" t="s">
        <x:v>373</x:v>
      </x:c>
      <x:c r="L95" s="5" t="s">
        <x:v>374</x:v>
      </x:c>
      <x:c r="M95" s="7" t="s">
        <x:v>23</x:v>
      </x:c>
      <x:c r="N95" s="7" t="s">
        <x:v>24</x:v>
      </x:c>
      <x:c r="O95" s="7" t="s">
        <x:v>41</x:v>
      </x:c>
      <x:c r="P95" s="47" t="str">
        <x:v>Y</x:v>
      </x:c>
      <x:c r="Q95" s="48" t="b">
        <x:v>1</x:v>
      </x:c>
      <x:c r="R95" s="47" t="str">
        <x:v>clear</x:v>
      </x:c>
      <x:c r="S95" s="47" t="str">
        <x:v>answer</x:v>
      </x:c>
      <x:c r="T95" s="47" t="str"/>
      <x:c r="U95" s="47" t="str">
        <x:v>[]</x:v>
      </x:c>
      <x:c r="V95" s="47" t="str">
        <x:v>["mistaken_transfer"]</x:v>
      </x:c>
      <x:c r="W95" s="47" t="str">
        <x:v>[]</x:v>
      </x:c>
      <x:c r="X95" s="47" t="str">
        <x:v>[]</x:v>
      </x:c>
      <x:c r="Y95" s="47" t="str">
        <x:v>["MT-013"]</x:v>
      </x:c>
      <x:c r="Z95" s="47" t="str">
        <x:v>["반환지원 제외 대상","착오송금반환지원 신청 대상"]</x:v>
      </x:c>
      <x:c r="AA95" s="47" t="str"/>
      <x:c r="AB95" s="47" t="str">
        <x:v>Codex 1차 검수</x:v>
      </x:c>
      <x:c r="AC95" s="47" t="str">
        <x:v>2026-07-30</x:v>
      </x:c>
      <x:c r="AD95" s="47" t="str">
        <x:v>v1.1_gold_review</x:v>
      </x:c>
    </x:row>
    <x:row r="96" ht="38.099998474121094" customHeight="1">
      <x:c r="A96" s="7" t="str">
        <x:f t="shared" si="2"/>
        <x:v>Y</x:v>
      </x:c>
      <x:c r="B96" s="7" t="s">
        <x:v>375</x:v>
      </x:c>
      <x:c r="C96" s="7" t="s">
        <x:v>376</x:v>
      </x:c>
      <x:c r="D96" s="5" t="s">
        <x:v>377</x:v>
      </x:c>
      <x:c r="E96" s="7" t="str">
        <x:v>착오송금 반환지원</x:v>
      </x:c>
      <x:c r="F96" s="7" t="s">
        <x:v>270</x:v>
      </x:c>
      <x:c r="G96" s="7" t="s">
        <x:v>32</x:v>
      </x:c>
      <x:c r="H96" s="7" t="s">
        <x:v>20</x:v>
      </x:c>
      <x:c r="I96" s="5" t="str">
        <x:v>["https://fins.kdic.or.kr/ir/msdrpr/MsdrprAttnMttr/selectScrn.do"]</x:v>
      </x:c>
      <x:c r="J96" s="5" t="str">
        <x:v>["MT-013_chunk_000"]</x:v>
      </x:c>
      <x:c r="K96" s="5" t="str">
        <x:v>[]</x:v>
      </x:c>
      <x:c r="L96" s="5" t="str">
        <x:v>["MT-013_chunk_000"]</x:v>
      </x:c>
      <x:c r="M96" s="7" t="str">
        <x:v>PRIMARY_ONLY</x:v>
      </x:c>
      <x:c r="N96" s="7" t="str">
        <x:v>N</x:v>
      </x:c>
      <x:c r="O96" s="7" t="str">
        <x:v>codex_reviewed_pending_human</x:v>
      </x:c>
      <x:c r="P96" s="47" t="str">
        <x:v>Y</x:v>
      </x:c>
      <x:c r="Q96" s="48" t="b">
        <x:v>1</x:v>
      </x:c>
      <x:c r="R96" s="47" t="str">
        <x:v>clear</x:v>
      </x:c>
      <x:c r="S96" s="47" t="str">
        <x:v>answer</x:v>
      </x:c>
      <x:c r="T96" s="47" t="str"/>
      <x:c r="U96" s="47" t="str">
        <x:v>[]</x:v>
      </x:c>
      <x:c r="V96" s="47" t="str">
        <x:v>["mistaken_transfer"]</x:v>
      </x:c>
      <x:c r="W96" s="47" t="str">
        <x:v>[]</x:v>
      </x:c>
      <x:c r="X96" s="47" t="str">
        <x:v>[]</x:v>
      </x:c>
      <x:c r="Y96" s="47" t="str">
        <x:v>["MT-013"]</x:v>
      </x:c>
      <x:c r="Z96" s="47" t="str">
        <x:v>["착오송금반환지원 신청 대상"]</x:v>
      </x:c>
      <x:c r="AA96" s="47" t="str">
        <x:v>비용률 예시가 실제로 포함된 신청 대상 청크로 교체.</x:v>
      </x:c>
      <x:c r="AB96" s="47" t="str">
        <x:v>Codex 1차 검수</x:v>
      </x:c>
      <x:c r="AC96" s="47" t="str">
        <x:v>2026-07-30</x:v>
      </x:c>
      <x:c r="AD96" s="47" t="str">
        <x:v>v1.1_gold_review</x:v>
      </x:c>
    </x:row>
    <x:row r="97" ht="38.099998474121094" customHeight="1">
      <x:c r="A97" s="7" t="str">
        <x:f t="shared" si="2"/>
        <x:v>Y</x:v>
      </x:c>
      <x:c r="B97" s="7" t="s">
        <x:v>378</x:v>
      </x:c>
      <x:c r="C97" s="7" t="s">
        <x:v>379</x:v>
      </x:c>
      <x:c r="D97" s="5" t="s">
        <x:v>380</x:v>
      </x:c>
      <x:c r="E97" s="7" t="str">
        <x:v>착오송금 반환지원</x:v>
      </x:c>
      <x:c r="F97" s="7" t="s">
        <x:v>270</x:v>
      </x:c>
      <x:c r="G97" s="7" t="s">
        <x:v>32</x:v>
      </x:c>
      <x:c r="H97" s="7" t="s">
        <x:v>20</x:v>
      </x:c>
      <x:c r="I97" s="5" t="str">
        <x:v>["https://fins.kdic.or.kr/ir/msdrpr/MsdrprAttnMttr/selectScrn.do","https://fins.kdic.or.kr/ir/aplygudn/MtrsStutChc/selectScrn.do"]</x:v>
      </x:c>
      <x:c r="J97" s="5" t="s">
        <x:v>381</x:v>
      </x:c>
      <x:c r="K97" s="5" t="s">
        <x:v>286</x:v>
      </x:c>
      <x:c r="L97" s="5" t="s">
        <x:v>382</x:v>
      </x:c>
      <x:c r="M97" s="7" t="s">
        <x:v>39</x:v>
      </x:c>
      <x:c r="N97" s="7" t="s">
        <x:v>40</x:v>
      </x:c>
      <x:c r="O97" s="7" t="s">
        <x:v>25</x:v>
      </x:c>
      <x:c r="P97" s="47" t="str">
        <x:v>Y</x:v>
      </x:c>
      <x:c r="Q97" s="48" t="b">
        <x:v>1</x:v>
      </x:c>
      <x:c r="R97" s="47" t="str">
        <x:v>clear</x:v>
      </x:c>
      <x:c r="S97" s="47" t="str">
        <x:v>answer</x:v>
      </x:c>
      <x:c r="T97" s="47" t="str"/>
      <x:c r="U97" s="47" t="str">
        <x:v>[]</x:v>
      </x:c>
      <x:c r="V97" s="47" t="str">
        <x:v>["mistaken_transfer"]</x:v>
      </x:c>
      <x:c r="W97" s="47" t="str">
        <x:v>[]</x:v>
      </x:c>
      <x:c r="X97" s="47" t="str">
        <x:v>[]</x:v>
      </x:c>
      <x:c r="Y97" s="47" t="str">
        <x:v>["MT-013","MT-011"]</x:v>
      </x:c>
      <x:c r="Z97" s="47" t="str">
        <x:v>["착오송금반환지원 신청 대상","반환지원 제외 대상","상황선택"]</x:v>
      </x:c>
      <x:c r="AA97" s="47" t="str"/>
      <x:c r="AB97" s="47" t="str">
        <x:v>Codex 1차 검수</x:v>
      </x:c>
      <x:c r="AC97" s="47" t="str">
        <x:v>2026-07-30</x:v>
      </x:c>
      <x:c r="AD97" s="47" t="str">
        <x:v>v1.1_gold_review</x:v>
      </x:c>
    </x:row>
    <x:row r="98" ht="38.099998474121094" customHeight="1">
      <x:c r="A98" s="7" t="str">
        <x:f t="shared" ref="A98:A129" si="3">IF(OR(L98="",L98="[]"),"N","Y")</x:f>
        <x:v>N</x:v>
      </x:c>
      <x:c r="B98" s="7" t="s">
        <x:v>383</x:v>
      </x:c>
      <x:c r="C98" s="7" t="s">
        <x:v>384</x:v>
      </x:c>
      <x:c r="D98" s="5" t="s">
        <x:v>385</x:v>
      </x:c>
      <x:c r="E98" s="7" t="s">
        <x:v>386</x:v>
      </x:c>
      <x:c r="F98" s="7" t="s">
        <x:v>270</x:v>
      </x:c>
      <x:c r="G98" s="7" t="s">
        <x:v>19</x:v>
      </x:c>
      <x:c r="H98" s="7" t="s">
        <x:v>20</x:v>
      </x:c>
      <x:c r="I98" s="5" t="s">
        <x:v>387</x:v>
      </x:c>
      <x:c r="J98" s="5" t="s">
        <x:v>22</x:v>
      </x:c>
      <x:c r="K98" s="5" t="s">
        <x:v>22</x:v>
      </x:c>
      <x:c r="L98" s="5" t="s">
        <x:v>22</x:v>
      </x:c>
      <x:c r="M98" s="7"/>
      <x:c r="N98" s="7" t="s">
        <x:v>24</x:v>
      </x:c>
      <x:c r="O98" s="7" t="s">
        <x:v>25</x:v>
      </x:c>
      <x:c r="P98" s="47"/>
      <x:c r="Q98" s="47"/>
      <x:c r="R98" s="47"/>
      <x:c r="S98" s="47"/>
      <x:c r="T98" s="47"/>
      <x:c r="U98" s="47"/>
      <x:c r="V98" s="47"/>
      <x:c r="W98" s="47"/>
      <x:c r="X98" s="47"/>
      <x:c r="Y98" s="47"/>
      <x:c r="Z98" s="47"/>
      <x:c r="AA98" s="47"/>
      <x:c r="AB98" s="47"/>
      <x:c r="AC98" s="47"/>
      <x:c r="AD98" s="47"/>
    </x:row>
    <x:row r="99" ht="38.099998474121094" customHeight="1">
      <x:c r="A99" s="7" t="str">
        <x:f t="shared" si="3"/>
        <x:v>Y</x:v>
      </x:c>
      <x:c r="B99" s="7" t="s">
        <x:v>388</x:v>
      </x:c>
      <x:c r="C99" s="7" t="s">
        <x:v>389</x:v>
      </x:c>
      <x:c r="D99" s="5" t="s">
        <x:v>390</x:v>
      </x:c>
      <x:c r="E99" s="7" t="str">
        <x:v>착오송금 반환지원</x:v>
      </x:c>
      <x:c r="F99" s="7" t="s">
        <x:v>270</x:v>
      </x:c>
      <x:c r="G99" s="7" t="s">
        <x:v>19</x:v>
      </x:c>
      <x:c r="H99" s="7" t="s">
        <x:v>20</x:v>
      </x:c>
      <x:c r="I99" s="5" t="str">
        <x:v>["https://www.kdic.or.kr/sp/kmrs/kmrsItrdAplyTrgt/selectScrn.do"]</x:v>
      </x:c>
      <x:c r="J99" s="5" t="s">
        <x:v>391</x:v>
      </x:c>
      <x:c r="K99" s="5" t="s">
        <x:v>22</x:v>
      </x:c>
      <x:c r="L99" s="5" t="s">
        <x:v>391</x:v>
      </x:c>
      <x:c r="M99" s="7" t="s">
        <x:v>23</x:v>
      </x:c>
      <x:c r="N99" s="7" t="s">
        <x:v>24</x:v>
      </x:c>
      <x:c r="O99" s="7" t="s">
        <x:v>25</x:v>
      </x:c>
      <x:c r="P99" s="47" t="str">
        <x:v>Y</x:v>
      </x:c>
      <x:c r="Q99" s="48" t="b">
        <x:v>1</x:v>
      </x:c>
      <x:c r="R99" s="47" t="str">
        <x:v>clear</x:v>
      </x:c>
      <x:c r="S99" s="47" t="str">
        <x:v>answer</x:v>
      </x:c>
      <x:c r="T99" s="47" t="str"/>
      <x:c r="U99" s="47" t="str">
        <x:v>[]</x:v>
      </x:c>
      <x:c r="V99" s="47" t="str">
        <x:v>["mistaken_transfer"]</x:v>
      </x:c>
      <x:c r="W99" s="47" t="str">
        <x:v>[]</x:v>
      </x:c>
      <x:c r="X99" s="47" t="str">
        <x:v>[]</x:v>
      </x:c>
      <x:c r="Y99" s="47" t="str">
        <x:v>["MT-015"]</x:v>
      </x:c>
      <x:c r="Z99" s="47" t="str">
        <x:v>["신청 가능한 착오송금 금액 한도가 있나요?"]</x:v>
      </x:c>
      <x:c r="AA99" s="47" t="str"/>
      <x:c r="AB99" s="47" t="str">
        <x:v>Codex 1차 검수</x:v>
      </x:c>
      <x:c r="AC99" s="47" t="str">
        <x:v>2026-07-30</x:v>
      </x:c>
      <x:c r="AD99" s="47" t="str">
        <x:v>v1.1_gold_review</x:v>
      </x:c>
    </x:row>
    <x:row r="100" ht="38.099998474121094" customHeight="1">
      <x:c r="A100" s="7" t="str">
        <x:f t="shared" si="3"/>
        <x:v>Y</x:v>
      </x:c>
      <x:c r="B100" s="7" t="s">
        <x:v>392</x:v>
      </x:c>
      <x:c r="C100" s="7" t="s">
        <x:v>393</x:v>
      </x:c>
      <x:c r="D100" s="5" t="s">
        <x:v>394</x:v>
      </x:c>
      <x:c r="E100" s="7" t="str">
        <x:v>착오송금 반환지원</x:v>
      </x:c>
      <x:c r="F100" s="7" t="s">
        <x:v>270</x:v>
      </x:c>
      <x:c r="G100" s="7" t="s">
        <x:v>140</x:v>
      </x:c>
      <x:c r="H100" s="7" t="s">
        <x:v>20</x:v>
      </x:c>
      <x:c r="I100" s="5" t="str">
        <x:v>["https://www.kdic.or.kr/sp/kmrs/kmrsItrdAplyTrgt/selectScrn.do"]</x:v>
      </x:c>
      <x:c r="J100" s="5" t="s">
        <x:v>395</x:v>
      </x:c>
      <x:c r="K100" s="5" t="s">
        <x:v>22</x:v>
      </x:c>
      <x:c r="L100" s="5" t="s">
        <x:v>395</x:v>
      </x:c>
      <x:c r="M100" s="7" t="s">
        <x:v>23</x:v>
      </x:c>
      <x:c r="N100" s="7" t="s">
        <x:v>24</x:v>
      </x:c>
      <x:c r="O100" s="7" t="s">
        <x:v>25</x:v>
      </x:c>
      <x:c r="P100" s="47" t="str">
        <x:v>Y</x:v>
      </x:c>
      <x:c r="Q100" s="48" t="b">
        <x:v>1</x:v>
      </x:c>
      <x:c r="R100" s="47" t="str">
        <x:v>clear</x:v>
      </x:c>
      <x:c r="S100" s="47" t="str">
        <x:v>answer</x:v>
      </x:c>
      <x:c r="T100" s="47" t="str"/>
      <x:c r="U100" s="47" t="str">
        <x:v>[]</x:v>
      </x:c>
      <x:c r="V100" s="47" t="str">
        <x:v>["mistaken_transfer"]</x:v>
      </x:c>
      <x:c r="W100" s="47" t="str">
        <x:v>[]</x:v>
      </x:c>
      <x:c r="X100" s="47" t="str">
        <x:v>[]</x:v>
      </x:c>
      <x:c r="Y100" s="47" t="str">
        <x:v>["MT-015"]</x:v>
      </x:c>
      <x:c r="Z100" s="47" t="str">
        <x:v>["언제까지 신청하면 되나요?"]</x:v>
      </x:c>
      <x:c r="AA100" s="47" t="str"/>
      <x:c r="AB100" s="47" t="str">
        <x:v>Codex 1차 검수</x:v>
      </x:c>
      <x:c r="AC100" s="47" t="str">
        <x:v>2026-07-30</x:v>
      </x:c>
      <x:c r="AD100" s="47" t="str">
        <x:v>v1.1_gold_review</x:v>
      </x:c>
    </x:row>
    <x:row r="101" ht="38.099998474121094" customHeight="1">
      <x:c r="A101" s="7" t="str">
        <x:f t="shared" si="3"/>
        <x:v>N</x:v>
      </x:c>
      <x:c r="B101" s="7" t="s">
        <x:v>396</x:v>
      </x:c>
      <x:c r="C101" s="7" t="s">
        <x:v>397</x:v>
      </x:c>
      <x:c r="D101" s="5" t="s">
        <x:v>398</x:v>
      </x:c>
      <x:c r="E101" s="7" t="str">
        <x:v>착오송금 반환지원</x:v>
      </x:c>
      <x:c r="F101" s="7" t="s">
        <x:v>270</x:v>
      </x:c>
      <x:c r="G101" s="7" t="s">
        <x:v>71</x:v>
      </x:c>
      <x:c r="H101" s="7" t="s">
        <x:v>20</x:v>
      </x:c>
      <x:c r="I101" s="5" t="str">
        <x:v>[]</x:v>
      </x:c>
      <x:c r="J101" s="5" t="str">
        <x:v>[]</x:v>
      </x:c>
      <x:c r="K101" s="5" t="str">
        <x:v>[]</x:v>
      </x:c>
      <x:c r="L101" s="5" t="str">
        <x:v>[]</x:v>
      </x:c>
      <x:c r="M101" s="7" t="str">
        <x:v>NOT_APPLICABLE</x:v>
      </x:c>
      <x:c r="N101" s="7" t="str">
        <x:v>N</x:v>
      </x:c>
      <x:c r="O101" s="7" t="str">
        <x:v>codex_reviewed_pending_human</x:v>
      </x:c>
      <x:c r="P101" s="47" t="str">
        <x:v>N</x:v>
      </x:c>
      <x:c r="Q101" s="48" t="b">
        <x:v>0</x:v>
      </x:c>
      <x:c r="R101" s="47" t="str">
        <x:v>needs_clarification</x:v>
      </x:c>
      <x:c r="S101" s="47" t="str">
        <x:v>answer_with_limitation</x:v>
      </x:c>
      <x:c r="T101" s="47" t="str">
        <x:v>예금보호가 아니라 잘못 보낸 돈을 돌려받는 절차를 안내해 드릴까요?</x:v>
      </x:c>
      <x:c r="U101" s="47" t="str">
        <x:v>["착오송금 반환지원 안내","예금자보호제도 설명"]</x:v>
      </x:c>
      <x:c r="V101" s="47" t="str">
        <x:v>["mistaken_transfer","deposit_protection"]</x:v>
      </x:c>
      <x:c r="W101" s="47" t="str">
        <x:v>[]</x:v>
      </x:c>
      <x:c r="X101" s="47" t="str">
        <x:v>["MT-015_chunk_002","DP-002_chunk_002","MT-015_chunk_000"]</x:v>
      </x:c>
      <x:c r="Y101" s="47" t="str">
        <x:v>[]</x:v>
      </x:c>
      <x:c r="Z101" s="47" t="str">
        <x:v>[]</x:v>
      </x:c>
      <x:c r="AA101" s="47" t="str">
        <x:v>예금보호와 착오송금을 혼동한 복수 업무 문항으로 단일 업무 검색평가에서 제외.</x:v>
      </x:c>
      <x:c r="AB101" s="47" t="str">
        <x:v>Codex 1차 검수</x:v>
      </x:c>
      <x:c r="AC101" s="47" t="str">
        <x:v>2026-07-30</x:v>
      </x:c>
      <x:c r="AD101" s="47" t="str">
        <x:v>v1.1_gold_review</x:v>
      </x:c>
    </x:row>
    <x:row r="102" ht="38.099998474121094" customHeight="1">
      <x:c r="A102" s="7" t="str">
        <x:f t="shared" si="3"/>
        <x:v>Y</x:v>
      </x:c>
      <x:c r="B102" s="7" t="s">
        <x:v>399</x:v>
      </x:c>
      <x:c r="C102" s="7" t="s">
        <x:v>400</x:v>
      </x:c>
      <x:c r="D102" s="5" t="s">
        <x:v>401</x:v>
      </x:c>
      <x:c r="E102" s="7" t="str">
        <x:v>착오송금 반환지원</x:v>
      </x:c>
      <x:c r="F102" s="7" t="s">
        <x:v>270</x:v>
      </x:c>
      <x:c r="G102" s="7" t="s">
        <x:v>32</x:v>
      </x:c>
      <x:c r="H102" s="7" t="s">
        <x:v>20</x:v>
      </x:c>
      <x:c r="I102" s="5" t="str">
        <x:v>["https://fins.kdic.or.kr/cm/bbs/selectFaqMsdrGvbkAply.do"]</x:v>
      </x:c>
      <x:c r="J102" s="5" t="s">
        <x:v>402</x:v>
      </x:c>
      <x:c r="K102" s="5" t="s">
        <x:v>22</x:v>
      </x:c>
      <x:c r="L102" s="5" t="s">
        <x:v>402</x:v>
      </x:c>
      <x:c r="M102" s="7" t="s">
        <x:v>23</x:v>
      </x:c>
      <x:c r="N102" s="7" t="s">
        <x:v>24</x:v>
      </x:c>
      <x:c r="O102" s="7" t="s">
        <x:v>41</x:v>
      </x:c>
      <x:c r="P102" s="47" t="str">
        <x:v>Y</x:v>
      </x:c>
      <x:c r="Q102" s="48" t="b">
        <x:v>1</x:v>
      </x:c>
      <x:c r="R102" s="47" t="str">
        <x:v>clear</x:v>
      </x:c>
      <x:c r="S102" s="47" t="str">
        <x:v>answer</x:v>
      </x:c>
      <x:c r="T102" s="47" t="str"/>
      <x:c r="U102" s="47" t="str">
        <x:v>[]</x:v>
      </x:c>
      <x:c r="V102" s="47" t="str">
        <x:v>["mistaken_transfer"]</x:v>
      </x:c>
      <x:c r="W102" s="47" t="str">
        <x:v>[]</x:v>
      </x:c>
      <x:c r="X102" s="47" t="str">
        <x:v>[]</x:v>
      </x:c>
      <x:c r="Y102" s="47" t="str">
        <x:v>["MT-004"]</x:v>
      </x:c>
      <x:c r="Z102" s="47" t="str">
        <x:v>["보이스피싱 피해도 착오송금 반환지원 신청이 가능한가요?"]</x:v>
      </x:c>
      <x:c r="AA102" s="47" t="str"/>
      <x:c r="AB102" s="47" t="str">
        <x:v>Codex 1차 검수</x:v>
      </x:c>
      <x:c r="AC102" s="47" t="str">
        <x:v>2026-07-30</x:v>
      </x:c>
      <x:c r="AD102" s="47" t="str">
        <x:v>v1.1_gold_review</x:v>
      </x:c>
    </x:row>
    <x:row r="103" ht="38.099998474121094" customHeight="1">
      <x:c r="A103" s="7" t="str">
        <x:f t="shared" si="3"/>
        <x:v>Y</x:v>
      </x:c>
      <x:c r="B103" s="7" t="s">
        <x:v>403</x:v>
      </x:c>
      <x:c r="C103" s="7" t="s">
        <x:v>404</x:v>
      </x:c>
      <x:c r="D103" s="5" t="s">
        <x:v>405</x:v>
      </x:c>
      <x:c r="E103" s="7" t="str">
        <x:v>착오송금 반환지원</x:v>
      </x:c>
      <x:c r="F103" s="7" t="s">
        <x:v>270</x:v>
      </x:c>
      <x:c r="G103" s="7" t="s">
        <x:v>19</x:v>
      </x:c>
      <x:c r="H103" s="7" t="s">
        <x:v>72</x:v>
      </x:c>
      <x:c r="I103" s="5" t="str">
        <x:v>["https://fins.kdic.or.kr/cm/bbs/selectFaqTop10.do"]</x:v>
      </x:c>
      <x:c r="J103" s="5" t="s">
        <x:v>406</x:v>
      </x:c>
      <x:c r="K103" s="5" t="s">
        <x:v>22</x:v>
      </x:c>
      <x:c r="L103" s="5" t="s">
        <x:v>406</x:v>
      </x:c>
      <x:c r="M103" s="7" t="s">
        <x:v>23</x:v>
      </x:c>
      <x:c r="N103" s="7" t="s">
        <x:v>24</x:v>
      </x:c>
      <x:c r="O103" s="7" t="s">
        <x:v>41</x:v>
      </x:c>
      <x:c r="P103" s="47" t="str">
        <x:v>Y</x:v>
      </x:c>
      <x:c r="Q103" s="48" t="b">
        <x:v>1</x:v>
      </x:c>
      <x:c r="R103" s="47" t="str">
        <x:v>clear</x:v>
      </x:c>
      <x:c r="S103" s="47" t="str">
        <x:v>answer</x:v>
      </x:c>
      <x:c r="T103" s="47" t="str"/>
      <x:c r="U103" s="47" t="str">
        <x:v>[]</x:v>
      </x:c>
      <x:c r="V103" s="47" t="str">
        <x:v>["mistaken_transfer"]</x:v>
      </x:c>
      <x:c r="W103" s="47" t="str">
        <x:v>[]</x:v>
      </x:c>
      <x:c r="X103" s="47" t="str">
        <x:v>[]</x:v>
      </x:c>
      <x:c r="Y103" s="47" t="str">
        <x:v>["MT-005"]</x:v>
      </x:c>
      <x:c r="Z103" s="47" t="str">
        <x:v>["1. 착오송금 반환지원 신청 접수부터 실제 반환까지 예상되는 소요 기간은 어떻게 되나요?"]</x:v>
      </x:c>
      <x:c r="AA103" s="47" t="str"/>
      <x:c r="AB103" s="47" t="str">
        <x:v>Codex 1차 검수</x:v>
      </x:c>
      <x:c r="AC103" s="47" t="str">
        <x:v>2026-07-30</x:v>
      </x:c>
      <x:c r="AD103" s="47" t="str">
        <x:v>v1.1_gold_review</x:v>
      </x:c>
    </x:row>
    <x:row r="104" ht="38.099998474121094" customHeight="1">
      <x:c r="A104" s="7" t="str">
        <x:f t="shared" si="3"/>
        <x:v>Y</x:v>
      </x:c>
      <x:c r="B104" s="7" t="s">
        <x:v>407</x:v>
      </x:c>
      <x:c r="C104" s="7" t="s">
        <x:v>408</x:v>
      </x:c>
      <x:c r="D104" s="5" t="s">
        <x:v>409</x:v>
      </x:c>
      <x:c r="E104" s="7" t="str">
        <x:v>채무조정</x:v>
      </x:c>
      <x:c r="F104" s="7" t="s">
        <x:v>410</x:v>
      </x:c>
      <x:c r="G104" s="7" t="s">
        <x:v>19</x:v>
      </x:c>
      <x:c r="H104" s="7" t="s">
        <x:v>20</x:v>
      </x:c>
      <x:c r="I104" s="5" t="str">
        <x:v>["https://www.kdic.or.kr/rb/lbltajmt/LbltAjmtSprtLbltAjmtSyst/selectScrn.do"]</x:v>
      </x:c>
      <x:c r="J104" s="5" t="s">
        <x:v>411</x:v>
      </x:c>
      <x:c r="K104" s="5" t="s">
        <x:v>22</x:v>
      </x:c>
      <x:c r="L104" s="5" t="s">
        <x:v>411</x:v>
      </x:c>
      <x:c r="M104" s="7" t="s">
        <x:v>23</x:v>
      </x:c>
      <x:c r="N104" s="7" t="s">
        <x:v>24</x:v>
      </x:c>
      <x:c r="O104" s="7" t="s">
        <x:v>25</x:v>
      </x:c>
      <x:c r="P104" s="47" t="str">
        <x:v>Y</x:v>
      </x:c>
      <x:c r="Q104" s="48" t="b">
        <x:v>1</x:v>
      </x:c>
      <x:c r="R104" s="47" t="str">
        <x:v>clear</x:v>
      </x:c>
      <x:c r="S104" s="47" t="str">
        <x:v>answer</x:v>
      </x:c>
      <x:c r="T104" s="47" t="str"/>
      <x:c r="U104" s="47" t="str">
        <x:v>[]</x:v>
      </x:c>
      <x:c r="V104" s="47" t="str">
        <x:v>["debt_adjustment"]</x:v>
      </x:c>
      <x:c r="W104" s="47" t="str">
        <x:v>[]</x:v>
      </x:c>
      <x:c r="X104" s="47" t="str">
        <x:v>[]</x:v>
      </x:c>
      <x:c r="Y104" s="47" t="str">
        <x:v>["DA-001"]</x:v>
      </x:c>
      <x:c r="Z104" s="47" t="str">
        <x:v>["신청자격 및 구비서류"]</x:v>
      </x:c>
      <x:c r="AA104" s="47" t="str"/>
      <x:c r="AB104" s="47" t="str">
        <x:v>Codex 1차 검수</x:v>
      </x:c>
      <x:c r="AC104" s="47" t="str">
        <x:v>2026-07-30</x:v>
      </x:c>
      <x:c r="AD104" s="47" t="str">
        <x:v>v1.1_gold_review</x:v>
      </x:c>
    </x:row>
    <x:row r="105" ht="38.099998474121094" customHeight="1">
      <x:c r="A105" s="7" t="str">
        <x:f t="shared" si="3"/>
        <x:v>Y</x:v>
      </x:c>
      <x:c r="B105" s="7" t="s">
        <x:v>412</x:v>
      </x:c>
      <x:c r="C105" s="7" t="s">
        <x:v>413</x:v>
      </x:c>
      <x:c r="D105" s="5" t="s">
        <x:v>414</x:v>
      </x:c>
      <x:c r="E105" s="7" t="str">
        <x:v>채무조정</x:v>
      </x:c>
      <x:c r="F105" s="7" t="s">
        <x:v>410</x:v>
      </x:c>
      <x:c r="G105" s="7" t="s">
        <x:v>19</x:v>
      </x:c>
      <x:c r="H105" s="7" t="s">
        <x:v>20</x:v>
      </x:c>
      <x:c r="I105" s="5" t="str">
        <x:v>["https://www.kdic.or.kr/rb/lbltajmt/LbltAjmtSprtLbltAjmtSyst/selectScrn.do"]</x:v>
      </x:c>
      <x:c r="J105" s="5" t="s">
        <x:v>415</x:v>
      </x:c>
      <x:c r="K105" s="5" t="s">
        <x:v>22</x:v>
      </x:c>
      <x:c r="L105" s="5" t="s">
        <x:v>415</x:v>
      </x:c>
      <x:c r="M105" s="7" t="s">
        <x:v>23</x:v>
      </x:c>
      <x:c r="N105" s="7" t="s">
        <x:v>24</x:v>
      </x:c>
      <x:c r="O105" s="7" t="s">
        <x:v>25</x:v>
      </x:c>
      <x:c r="P105" s="47" t="str">
        <x:v>Y</x:v>
      </x:c>
      <x:c r="Q105" s="48" t="b">
        <x:v>1</x:v>
      </x:c>
      <x:c r="R105" s="47" t="str">
        <x:v>clear</x:v>
      </x:c>
      <x:c r="S105" s="47" t="str">
        <x:v>answer</x:v>
      </x:c>
      <x:c r="T105" s="47" t="str"/>
      <x:c r="U105" s="47" t="str">
        <x:v>[]</x:v>
      </x:c>
      <x:c r="V105" s="47" t="str">
        <x:v>["debt_adjustment"]</x:v>
      </x:c>
      <x:c r="W105" s="47" t="str">
        <x:v>[]</x:v>
      </x:c>
      <x:c r="X105" s="47" t="str">
        <x:v>[]</x:v>
      </x:c>
      <x:c r="Y105" s="47" t="str">
        <x:v>["DA-001"]</x:v>
      </x:c>
      <x:c r="Z105" s="47" t="str">
        <x:v>["신청자격 및 구비서류"]</x:v>
      </x:c>
      <x:c r="AA105" s="47" t="str"/>
      <x:c r="AB105" s="47" t="str">
        <x:v>Codex 1차 검수</x:v>
      </x:c>
      <x:c r="AC105" s="47" t="str">
        <x:v>2026-07-30</x:v>
      </x:c>
      <x:c r="AD105" s="47" t="str">
        <x:v>v1.1_gold_review</x:v>
      </x:c>
    </x:row>
    <x:row r="106" ht="38.099998474121094" customHeight="1">
      <x:c r="A106" s="7" t="str">
        <x:f t="shared" si="3"/>
        <x:v>Y</x:v>
      </x:c>
      <x:c r="B106" s="7" t="s">
        <x:v>416</x:v>
      </x:c>
      <x:c r="C106" s="7" t="s">
        <x:v>417</x:v>
      </x:c>
      <x:c r="D106" s="5" t="s">
        <x:v>418</x:v>
      </x:c>
      <x:c r="E106" s="7" t="str">
        <x:v>채무조정</x:v>
      </x:c>
      <x:c r="F106" s="7" t="s">
        <x:v>410</x:v>
      </x:c>
      <x:c r="G106" s="7" t="s">
        <x:v>19</x:v>
      </x:c>
      <x:c r="H106" s="7" t="s">
        <x:v>20</x:v>
      </x:c>
      <x:c r="I106" s="5" t="str">
        <x:v>["https://www.kdic.or.kr/rb/lbltajmt/LbltAjmtSprtLbltAjmtSyst/selectScrn.do"]</x:v>
      </x:c>
      <x:c r="J106" s="5" t="s">
        <x:v>419</x:v>
      </x:c>
      <x:c r="K106" s="5" t="s">
        <x:v>22</x:v>
      </x:c>
      <x:c r="L106" s="5" t="s">
        <x:v>419</x:v>
      </x:c>
      <x:c r="M106" s="7" t="s">
        <x:v>23</x:v>
      </x:c>
      <x:c r="N106" s="7" t="s">
        <x:v>24</x:v>
      </x:c>
      <x:c r="O106" s="7" t="s">
        <x:v>25</x:v>
      </x:c>
      <x:c r="P106" s="47" t="str">
        <x:v>Y</x:v>
      </x:c>
      <x:c r="Q106" s="48" t="b">
        <x:v>1</x:v>
      </x:c>
      <x:c r="R106" s="47" t="str">
        <x:v>clear</x:v>
      </x:c>
      <x:c r="S106" s="47" t="str">
        <x:v>answer</x:v>
      </x:c>
      <x:c r="T106" s="47" t="str"/>
      <x:c r="U106" s="47" t="str">
        <x:v>[]</x:v>
      </x:c>
      <x:c r="V106" s="47" t="str">
        <x:v>["debt_adjustment"]</x:v>
      </x:c>
      <x:c r="W106" s="47" t="str">
        <x:v>[]</x:v>
      </x:c>
      <x:c r="X106" s="47" t="str">
        <x:v>[]</x:v>
      </x:c>
      <x:c r="Y106" s="47" t="str">
        <x:v>["DA-001"]</x:v>
      </x:c>
      <x:c r="Z106" s="47" t="str">
        <x:v>["신청자격 및 구비서류"]</x:v>
      </x:c>
      <x:c r="AA106" s="47" t="str"/>
      <x:c r="AB106" s="47" t="str">
        <x:v>Codex 1차 검수</x:v>
      </x:c>
      <x:c r="AC106" s="47" t="str">
        <x:v>2026-07-30</x:v>
      </x:c>
      <x:c r="AD106" s="47" t="str">
        <x:v>v1.1_gold_review</x:v>
      </x:c>
    </x:row>
    <x:row r="107" ht="38.099998474121094" customHeight="1">
      <x:c r="A107" s="7" t="str">
        <x:f t="shared" si="3"/>
        <x:v>Y</x:v>
      </x:c>
      <x:c r="B107" s="7" t="s">
        <x:v>420</x:v>
      </x:c>
      <x:c r="C107" s="7" t="s">
        <x:v>421</x:v>
      </x:c>
      <x:c r="D107" s="5" t="s">
        <x:v>422</x:v>
      </x:c>
      <x:c r="E107" s="7" t="str">
        <x:v>채무조정</x:v>
      </x:c>
      <x:c r="F107" s="7" t="s">
        <x:v>410</x:v>
      </x:c>
      <x:c r="G107" s="7" t="s">
        <x:v>19</x:v>
      </x:c>
      <x:c r="H107" s="7" t="s">
        <x:v>20</x:v>
      </x:c>
      <x:c r="I107" s="5" t="str">
        <x:v>["https://www.kdic.or.kr/rb/lbltajmt/LbltAjmtSprtLbltInfoInqDscsnAply/selectScrn.do"]</x:v>
      </x:c>
      <x:c r="J107" s="5" t="s">
        <x:v>423</x:v>
      </x:c>
      <x:c r="K107" s="5" t="s">
        <x:v>22</x:v>
      </x:c>
      <x:c r="L107" s="5" t="s">
        <x:v>423</x:v>
      </x:c>
      <x:c r="M107" s="7" t="s">
        <x:v>23</x:v>
      </x:c>
      <x:c r="N107" s="7" t="s">
        <x:v>24</x:v>
      </x:c>
      <x:c r="O107" s="7" t="s">
        <x:v>25</x:v>
      </x:c>
      <x:c r="P107" s="47" t="str">
        <x:v>Y</x:v>
      </x:c>
      <x:c r="Q107" s="48" t="b">
        <x:v>1</x:v>
      </x:c>
      <x:c r="R107" s="47" t="str">
        <x:v>clear</x:v>
      </x:c>
      <x:c r="S107" s="47" t="str">
        <x:v>answer</x:v>
      </x:c>
      <x:c r="T107" s="47" t="str"/>
      <x:c r="U107" s="47" t="str">
        <x:v>[]</x:v>
      </x:c>
      <x:c r="V107" s="47" t="str">
        <x:v>["debt_adjustment"]</x:v>
      </x:c>
      <x:c r="W107" s="47" t="str">
        <x:v>[]</x:v>
      </x:c>
      <x:c r="X107" s="47" t="str">
        <x:v>[]</x:v>
      </x:c>
      <x:c r="Y107" s="47" t="str">
        <x:v>["DA-002"]</x:v>
      </x:c>
      <x:c r="Z107" s="47" t="str">
        <x:v>["채무 정보 조회"]</x:v>
      </x:c>
      <x:c r="AA107" s="47" t="str"/>
      <x:c r="AB107" s="47" t="str">
        <x:v>Codex 1차 검수</x:v>
      </x:c>
      <x:c r="AC107" s="47" t="str">
        <x:v>2026-07-30</x:v>
      </x:c>
      <x:c r="AD107" s="47" t="str">
        <x:v>v1.1_gold_review</x:v>
      </x:c>
    </x:row>
    <x:row r="108" ht="38.099998474121094" customHeight="1">
      <x:c r="A108" s="7" t="str">
        <x:f t="shared" si="3"/>
        <x:v>Y</x:v>
      </x:c>
      <x:c r="B108" s="7" t="s">
        <x:v>424</x:v>
      </x:c>
      <x:c r="C108" s="7" t="s">
        <x:v>425</x:v>
      </x:c>
      <x:c r="D108" s="5" t="s">
        <x:v>426</x:v>
      </x:c>
      <x:c r="E108" s="7" t="str">
        <x:v>채무조정</x:v>
      </x:c>
      <x:c r="F108" s="7" t="s">
        <x:v>410</x:v>
      </x:c>
      <x:c r="G108" s="7" t="s">
        <x:v>32</x:v>
      </x:c>
      <x:c r="H108" s="7" t="s">
        <x:v>20</x:v>
      </x:c>
      <x:c r="I108" s="5" t="str">
        <x:v>["https://www.kdic.or.kr/rb/lbltajmt/LbltAjmtSprtLbltInfoInqDscsnAply/selectScrn.do"]</x:v>
      </x:c>
      <x:c r="J108" s="5" t="str">
        <x:v>["DA-002_chunk_002"]</x:v>
      </x:c>
      <x:c r="K108" s="5" t="str">
        <x:v>["DA-002_chunk_001"]</x:v>
      </x:c>
      <x:c r="L108" s="5" t="str">
        <x:v>["DA-002_chunk_002","DA-002_chunk_001"]</x:v>
      </x:c>
      <x:c r="M108" s="7" t="str">
        <x:v>PRIMARY_ONLY</x:v>
      </x:c>
      <x:c r="N108" s="7" t="str">
        <x:v>N</x:v>
      </x:c>
      <x:c r="O108" s="7" t="str">
        <x:v>codex_reviewed_pending_human</x:v>
      </x:c>
      <x:c r="P108" s="47" t="str">
        <x:v>Y</x:v>
      </x:c>
      <x:c r="Q108" s="48" t="b">
        <x:v>1</x:v>
      </x:c>
      <x:c r="R108" s="47" t="str">
        <x:v>clear</x:v>
      </x:c>
      <x:c r="S108" s="47" t="str">
        <x:v>answer</x:v>
      </x:c>
      <x:c r="T108" s="47" t="str"/>
      <x:c r="U108" s="47" t="str">
        <x:v>[]</x:v>
      </x:c>
      <x:c r="V108" s="47" t="str">
        <x:v>["debt_adjustment"]</x:v>
      </x:c>
      <x:c r="W108" s="47" t="str">
        <x:v>[]</x:v>
      </x:c>
      <x:c r="X108" s="47" t="str">
        <x:v>[]</x:v>
      </x:c>
      <x:c r="Y108" s="47" t="str">
        <x:v>["DA-002"]</x:v>
      </x:c>
      <x:c r="Z108" s="47" t="str">
        <x:v>["채무정보 조회 및 채무조정 상담 신청 방법","채무조정 상담 신청"]</x:v>
      </x:c>
      <x:c r="AA108" s="47" t="str">
        <x:v>상담 신청 방법 청크를 Primary로, 제도 설명을 Supporting으로 정리.</x:v>
      </x:c>
      <x:c r="AB108" s="47" t="str">
        <x:v>Codex 1차 검수</x:v>
      </x:c>
      <x:c r="AC108" s="47" t="str">
        <x:v>2026-07-30</x:v>
      </x:c>
      <x:c r="AD108" s="47" t="str">
        <x:v>v1.1_gold_review</x:v>
      </x:c>
    </x:row>
    <x:row r="109" ht="38.099998474121094" customHeight="1">
      <x:c r="A109" s="7" t="str">
        <x:f t="shared" si="3"/>
        <x:v>Y</x:v>
      </x:c>
      <x:c r="B109" s="7" t="s">
        <x:v>427</x:v>
      </x:c>
      <x:c r="C109" s="7" t="s">
        <x:v>428</x:v>
      </x:c>
      <x:c r="D109" s="5" t="s">
        <x:v>429</x:v>
      </x:c>
      <x:c r="E109" s="7" t="str">
        <x:v>채무조정</x:v>
      </x:c>
      <x:c r="F109" s="7" t="s">
        <x:v>410</x:v>
      </x:c>
      <x:c r="G109" s="7" t="s">
        <x:v>19</x:v>
      </x:c>
      <x:c r="H109" s="7" t="s">
        <x:v>20</x:v>
      </x:c>
      <x:c r="I109" s="5" t="str">
        <x:v>["https://www.kdic.or.kr/di/relsite/PbcrKrncLblarb/selectScrn.do"]</x:v>
      </x:c>
      <x:c r="J109" s="5" t="s">
        <x:v>430</x:v>
      </x:c>
      <x:c r="K109" s="5" t="s">
        <x:v>22</x:v>
      </x:c>
      <x:c r="L109" s="5" t="s">
        <x:v>430</x:v>
      </x:c>
      <x:c r="M109" s="7" t="s">
        <x:v>23</x:v>
      </x:c>
      <x:c r="N109" s="7" t="s">
        <x:v>24</x:v>
      </x:c>
      <x:c r="O109" s="7" t="s">
        <x:v>25</x:v>
      </x:c>
      <x:c r="P109" s="47" t="str">
        <x:v>Y</x:v>
      </x:c>
      <x:c r="Q109" s="48" t="b">
        <x:v>1</x:v>
      </x:c>
      <x:c r="R109" s="47" t="str">
        <x:v>clear</x:v>
      </x:c>
      <x:c r="S109" s="47" t="str">
        <x:v>answer</x:v>
      </x:c>
      <x:c r="T109" s="47" t="str"/>
      <x:c r="U109" s="47" t="str">
        <x:v>[]</x:v>
      </x:c>
      <x:c r="V109" s="47" t="str">
        <x:v>["debt_adjustment"]</x:v>
      </x:c>
      <x:c r="W109" s="47" t="str">
        <x:v>[]</x:v>
      </x:c>
      <x:c r="X109" s="47" t="str">
        <x:v>[]</x:v>
      </x:c>
      <x:c r="Y109" s="47" t="str">
        <x:v>["DA-003"]</x:v>
      </x:c>
      <x:c r="Z109" s="47" t="str">
        <x:v>["지원내용"]</x:v>
      </x:c>
      <x:c r="AA109" s="47" t="str"/>
      <x:c r="AB109" s="47" t="str">
        <x:v>Codex 1차 검수</x:v>
      </x:c>
      <x:c r="AC109" s="47" t="str">
        <x:v>2026-07-30</x:v>
      </x:c>
      <x:c r="AD109" s="47" t="str">
        <x:v>v1.1_gold_review</x:v>
      </x:c>
    </x:row>
    <x:row r="110" ht="38.099998474121094" customHeight="1">
      <x:c r="A110" s="7" t="str">
        <x:f t="shared" si="3"/>
        <x:v>Y</x:v>
      </x:c>
      <x:c r="B110" s="7" t="s">
        <x:v>431</x:v>
      </x:c>
      <x:c r="C110" s="7" t="s">
        <x:v>432</x:v>
      </x:c>
      <x:c r="D110" s="5" t="s">
        <x:v>433</x:v>
      </x:c>
      <x:c r="E110" s="7" t="str">
        <x:v>채무조정</x:v>
      </x:c>
      <x:c r="F110" s="7" t="s">
        <x:v>410</x:v>
      </x:c>
      <x:c r="G110" s="7" t="s">
        <x:v>32</x:v>
      </x:c>
      <x:c r="H110" s="7" t="s">
        <x:v>20</x:v>
      </x:c>
      <x:c r="I110" s="5" t="str">
        <x:v>["https://www.kdic.or.kr/di/relsite/PbcrKrncLblarb/selectScrn.do"]</x:v>
      </x:c>
      <x:c r="J110" s="5" t="s">
        <x:v>430</x:v>
      </x:c>
      <x:c r="K110" s="5" t="s">
        <x:v>22</x:v>
      </x:c>
      <x:c r="L110" s="5" t="s">
        <x:v>430</x:v>
      </x:c>
      <x:c r="M110" s="7" t="s">
        <x:v>23</x:v>
      </x:c>
      <x:c r="N110" s="7" t="s">
        <x:v>24</x:v>
      </x:c>
      <x:c r="O110" s="7" t="s">
        <x:v>25</x:v>
      </x:c>
      <x:c r="P110" s="47" t="str">
        <x:v>Y</x:v>
      </x:c>
      <x:c r="Q110" s="48" t="b">
        <x:v>1</x:v>
      </x:c>
      <x:c r="R110" s="47" t="str">
        <x:v>clear</x:v>
      </x:c>
      <x:c r="S110" s="47" t="str">
        <x:v>answer</x:v>
      </x:c>
      <x:c r="T110" s="47" t="str"/>
      <x:c r="U110" s="47" t="str">
        <x:v>[]</x:v>
      </x:c>
      <x:c r="V110" s="47" t="str">
        <x:v>["debt_adjustment"]</x:v>
      </x:c>
      <x:c r="W110" s="47" t="str">
        <x:v>[]</x:v>
      </x:c>
      <x:c r="X110" s="47" t="str">
        <x:v>[]</x:v>
      </x:c>
      <x:c r="Y110" s="47" t="str">
        <x:v>["DA-003"]</x:v>
      </x:c>
      <x:c r="Z110" s="47" t="str">
        <x:v>["지원내용"]</x:v>
      </x:c>
      <x:c r="AA110" s="47" t="str"/>
      <x:c r="AB110" s="47" t="str">
        <x:v>Codex 1차 검수</x:v>
      </x:c>
      <x:c r="AC110" s="47" t="str">
        <x:v>2026-07-30</x:v>
      </x:c>
      <x:c r="AD110" s="47" t="str">
        <x:v>v1.1_gold_review</x:v>
      </x:c>
    </x:row>
    <x:row r="111" ht="38.099998474121094" customHeight="1">
      <x:c r="A111" s="7" t="str">
        <x:f t="shared" si="3"/>
        <x:v>Y</x:v>
      </x:c>
      <x:c r="B111" s="7" t="s">
        <x:v>434</x:v>
      </x:c>
      <x:c r="C111" s="7" t="s">
        <x:v>435</x:v>
      </x:c>
      <x:c r="D111" s="5" t="s">
        <x:v>436</x:v>
      </x:c>
      <x:c r="E111" s="7" t="str">
        <x:v>채무조정</x:v>
      </x:c>
      <x:c r="F111" s="7" t="s">
        <x:v>410</x:v>
      </x:c>
      <x:c r="G111" s="7" t="s">
        <x:v>32</x:v>
      </x:c>
      <x:c r="H111" s="7" t="s">
        <x:v>20</x:v>
      </x:c>
      <x:c r="I111" s="5" t="str">
        <x:v>["https://www.kdic.or.kr/di/relsite/PbcrKrncLblarb/selectScrn.do"]</x:v>
      </x:c>
      <x:c r="J111" s="5" t="s">
        <x:v>437</x:v>
      </x:c>
      <x:c r="K111" s="5" t="s">
        <x:v>22</x:v>
      </x:c>
      <x:c r="L111" s="5" t="s">
        <x:v>437</x:v>
      </x:c>
      <x:c r="M111" s="7" t="s">
        <x:v>23</x:v>
      </x:c>
      <x:c r="N111" s="7" t="s">
        <x:v>24</x:v>
      </x:c>
      <x:c r="O111" s="7" t="s">
        <x:v>25</x:v>
      </x:c>
      <x:c r="P111" s="47" t="str">
        <x:v>Y</x:v>
      </x:c>
      <x:c r="Q111" s="48" t="b">
        <x:v>1</x:v>
      </x:c>
      <x:c r="R111" s="47" t="str">
        <x:v>clear</x:v>
      </x:c>
      <x:c r="S111" s="47" t="str">
        <x:v>answer</x:v>
      </x:c>
      <x:c r="T111" s="47" t="str"/>
      <x:c r="U111" s="47" t="str">
        <x:v>[]</x:v>
      </x:c>
      <x:c r="V111" s="47" t="str">
        <x:v>["debt_adjustment"]</x:v>
      </x:c>
      <x:c r="W111" s="47" t="str">
        <x:v>[]</x:v>
      </x:c>
      <x:c r="X111" s="47" t="str">
        <x:v>[]</x:v>
      </x:c>
      <x:c r="Y111" s="47" t="str">
        <x:v>["DA-003"]</x:v>
      </x:c>
      <x:c r="Z111" s="47" t="str">
        <x:v>["타 기관 채무조정과의 비교"]</x:v>
      </x:c>
      <x:c r="AA111" s="47" t="str"/>
      <x:c r="AB111" s="47" t="str">
        <x:v>Codex 1차 검수</x:v>
      </x:c>
      <x:c r="AC111" s="47" t="str">
        <x:v>2026-07-30</x:v>
      </x:c>
      <x:c r="AD111" s="47" t="str">
        <x:v>v1.1_gold_review</x:v>
      </x:c>
    </x:row>
    <x:row r="112" ht="38.099998474121094" customHeight="1">
      <x:c r="A112" s="7" t="str">
        <x:f t="shared" si="3"/>
        <x:v>Y</x:v>
      </x:c>
      <x:c r="B112" s="7" t="s">
        <x:v>438</x:v>
      </x:c>
      <x:c r="C112" s="7" t="s">
        <x:v>439</x:v>
      </x:c>
      <x:c r="D112" s="5" t="s">
        <x:v>440</x:v>
      </x:c>
      <x:c r="E112" s="7" t="str">
        <x:v>채무조정</x:v>
      </x:c>
      <x:c r="F112" s="7" t="s">
        <x:v>410</x:v>
      </x:c>
      <x:c r="G112" s="7" t="s">
        <x:v>32</x:v>
      </x:c>
      <x:c r="H112" s="7" t="s">
        <x:v>72</x:v>
      </x:c>
      <x:c r="I112" s="5" t="str">
        <x:v>["https://www.kdic.or.kr/rb/lbltajmt/LbltAjmtSprtCredRcvrySprt/selectScrn.do"]</x:v>
      </x:c>
      <x:c r="J112" s="5" t="s">
        <x:v>441</x:v>
      </x:c>
      <x:c r="K112" s="5" t="s">
        <x:v>442</x:v>
      </x:c>
      <x:c r="L112" s="5" t="s">
        <x:v>443</x:v>
      </x:c>
      <x:c r="M112" s="7" t="s">
        <x:v>39</x:v>
      </x:c>
      <x:c r="N112" s="7" t="s">
        <x:v>40</x:v>
      </x:c>
      <x:c r="O112" s="7" t="s">
        <x:v>25</x:v>
      </x:c>
      <x:c r="P112" s="47" t="str">
        <x:v>Y</x:v>
      </x:c>
      <x:c r="Q112" s="48" t="b">
        <x:v>1</x:v>
      </x:c>
      <x:c r="R112" s="47" t="str">
        <x:v>clear</x:v>
      </x:c>
      <x:c r="S112" s="47" t="str">
        <x:v>answer</x:v>
      </x:c>
      <x:c r="T112" s="47" t="str"/>
      <x:c r="U112" s="47" t="str">
        <x:v>[]</x:v>
      </x:c>
      <x:c r="V112" s="47" t="str">
        <x:v>["debt_adjustment"]</x:v>
      </x:c>
      <x:c r="W112" s="47" t="str">
        <x:v>[]</x:v>
      </x:c>
      <x:c r="X112" s="47" t="str">
        <x:v>[]</x:v>
      </x:c>
      <x:c r="Y112" s="47" t="str">
        <x:v>["DA-004"]</x:v>
      </x:c>
      <x:c r="Z112" s="47" t="str">
        <x:v>["신용회복 지원","신용회복지원 내용","채무감면","상환기간","변제유예"]</x:v>
      </x:c>
      <x:c r="AA112" s="47" t="str"/>
      <x:c r="AB112" s="47" t="str">
        <x:v>Codex 1차 검수</x:v>
      </x:c>
      <x:c r="AC112" s="47" t="str">
        <x:v>2026-07-30</x:v>
      </x:c>
      <x:c r="AD112" s="47" t="str">
        <x:v>v1.1_gold_review</x:v>
      </x:c>
    </x:row>
    <x:row r="113" ht="38.099998474121094" customHeight="1">
      <x:c r="A113" s="7" t="str">
        <x:f t="shared" si="3"/>
        <x:v>Y</x:v>
      </x:c>
      <x:c r="B113" s="7" t="s">
        <x:v>444</x:v>
      </x:c>
      <x:c r="C113" s="7" t="s">
        <x:v>445</x:v>
      </x:c>
      <x:c r="D113" s="5" t="s">
        <x:v>446</x:v>
      </x:c>
      <x:c r="E113" s="7" t="str">
        <x:v>채무조정</x:v>
      </x:c>
      <x:c r="F113" s="7" t="s">
        <x:v>410</x:v>
      </x:c>
      <x:c r="G113" s="7" t="s">
        <x:v>32</x:v>
      </x:c>
      <x:c r="H113" s="7" t="s">
        <x:v>72</x:v>
      </x:c>
      <x:c r="I113" s="5" t="str">
        <x:v>["https://www.kdic.or.kr/rb/lbltajmt/LbltAjmtSprtCredRcvrySprt/selectScrn.do","https://www.kdic.or.kr/rb/lbltajmt/LbltAjmtSprtLbltAjmtSyst/selectScrn.do"]</x:v>
      </x:c>
      <x:c r="J113" s="5" t="s">
        <x:v>447</x:v>
      </x:c>
      <x:c r="K113" s="5" t="s">
        <x:v>22</x:v>
      </x:c>
      <x:c r="L113" s="5" t="s">
        <x:v>447</x:v>
      </x:c>
      <x:c r="M113" s="7" t="s">
        <x:v>117</x:v>
      </x:c>
      <x:c r="N113" s="7" t="s">
        <x:v>40</x:v>
      </x:c>
      <x:c r="O113" s="7" t="s">
        <x:v>25</x:v>
      </x:c>
      <x:c r="P113" s="47" t="str">
        <x:v>Y</x:v>
      </x:c>
      <x:c r="Q113" s="48" t="b">
        <x:v>1</x:v>
      </x:c>
      <x:c r="R113" s="47" t="str">
        <x:v>clear</x:v>
      </x:c>
      <x:c r="S113" s="47" t="str">
        <x:v>answer</x:v>
      </x:c>
      <x:c r="T113" s="47" t="str"/>
      <x:c r="U113" s="47" t="str">
        <x:v>[]</x:v>
      </x:c>
      <x:c r="V113" s="47" t="str">
        <x:v>["debt_adjustment"]</x:v>
      </x:c>
      <x:c r="W113" s="47" t="str">
        <x:v>[]</x:v>
      </x:c>
      <x:c r="X113" s="47" t="str">
        <x:v>[]</x:v>
      </x:c>
      <x:c r="Y113" s="47" t="str">
        <x:v>["DA-004","DA-001"]</x:v>
      </x:c>
      <x:c r="Z113" s="47" t="str">
        <x:v>["신용회복지원 제도","채무조정 개요"]</x:v>
      </x:c>
      <x:c r="AA113" s="47" t="str"/>
      <x:c r="AB113" s="47" t="str">
        <x:v>Codex 1차 검수</x:v>
      </x:c>
      <x:c r="AC113" s="47" t="str">
        <x:v>2026-07-30</x:v>
      </x:c>
      <x:c r="AD113" s="47" t="str">
        <x:v>v1.1_gold_review</x:v>
      </x:c>
    </x:row>
    <x:row r="114" ht="38.099998474121094" customHeight="1">
      <x:c r="A114" s="7" t="str">
        <x:f t="shared" si="3"/>
        <x:v>Y</x:v>
      </x:c>
      <x:c r="B114" s="7" t="s">
        <x:v>448</x:v>
      </x:c>
      <x:c r="C114" s="7" t="s">
        <x:v>449</x:v>
      </x:c>
      <x:c r="D114" s="5" t="s">
        <x:v>450</x:v>
      </x:c>
      <x:c r="E114" s="7" t="str">
        <x:v>채무조정</x:v>
      </x:c>
      <x:c r="F114" s="7" t="s">
        <x:v>410</x:v>
      </x:c>
      <x:c r="G114" s="7" t="s">
        <x:v>32</x:v>
      </x:c>
      <x:c r="H114" s="7" t="s">
        <x:v>72</x:v>
      </x:c>
      <x:c r="I114" s="5" t="str">
        <x:v>["https://www.kdic.or.kr/rb/lbltajmt/LbltAjmtSprtPsnBr/selectScrn.do"]</x:v>
      </x:c>
      <x:c r="J114" s="5" t="s">
        <x:v>451</x:v>
      </x:c>
      <x:c r="K114" s="5" t="s">
        <x:v>22</x:v>
      </x:c>
      <x:c r="L114" s="5" t="s">
        <x:v>451</x:v>
      </x:c>
      <x:c r="M114" s="7" t="s">
        <x:v>117</x:v>
      </x:c>
      <x:c r="N114" s="7" t="s">
        <x:v>40</x:v>
      </x:c>
      <x:c r="O114" s="7" t="s">
        <x:v>25</x:v>
      </x:c>
      <x:c r="P114" s="47" t="str">
        <x:v>Y</x:v>
      </x:c>
      <x:c r="Q114" s="48" t="b">
        <x:v>1</x:v>
      </x:c>
      <x:c r="R114" s="47" t="str">
        <x:v>clear</x:v>
      </x:c>
      <x:c r="S114" s="47" t="str">
        <x:v>answer</x:v>
      </x:c>
      <x:c r="T114" s="47" t="str"/>
      <x:c r="U114" s="47" t="str">
        <x:v>[]</x:v>
      </x:c>
      <x:c r="V114" s="47" t="str">
        <x:v>["debt_adjustment"]</x:v>
      </x:c>
      <x:c r="W114" s="47" t="str">
        <x:v>[]</x:v>
      </x:c>
      <x:c r="X114" s="47" t="str">
        <x:v>[]</x:v>
      </x:c>
      <x:c r="Y114" s="47" t="str">
        <x:v>["DA-005"]</x:v>
      </x:c>
      <x:c r="Z114" s="47" t="str">
        <x:v>["개인파산 및 면책절차 흐름도","신청서 및 첨부서류 작성방법"]</x:v>
      </x:c>
      <x:c r="AA114" s="47" t="str"/>
      <x:c r="AB114" s="47" t="str">
        <x:v>Codex 1차 검수</x:v>
      </x:c>
      <x:c r="AC114" s="47" t="str">
        <x:v>2026-07-30</x:v>
      </x:c>
      <x:c r="AD114" s="47" t="str">
        <x:v>v1.1_gold_review</x:v>
      </x:c>
    </x:row>
    <x:row r="115" ht="38.099998474121094" customHeight="1">
      <x:c r="A115" s="7" t="str">
        <x:f t="shared" si="3"/>
        <x:v>Y</x:v>
      </x:c>
      <x:c r="B115" s="7" t="s">
        <x:v>452</x:v>
      </x:c>
      <x:c r="C115" s="7" t="s">
        <x:v>453</x:v>
      </x:c>
      <x:c r="D115" s="5" t="s">
        <x:v>454</x:v>
      </x:c>
      <x:c r="E115" s="7" t="str">
        <x:v>채무조정</x:v>
      </x:c>
      <x:c r="F115" s="7" t="s">
        <x:v>410</x:v>
      </x:c>
      <x:c r="G115" s="7" t="s">
        <x:v>71</x:v>
      </x:c>
      <x:c r="H115" s="7" t="s">
        <x:v>72</x:v>
      </x:c>
      <x:c r="I115" s="5" t="str">
        <x:v>["https://www.kdic.or.kr/rb/lbltajmt/LbltAjmtSprtPsnBr/selectScrn.do"]</x:v>
      </x:c>
      <x:c r="J115" s="5" t="str">
        <x:v>["DA-005_chunk_000","DA-005_chunk_005"]</x:v>
      </x:c>
      <x:c r="K115" s="5" t="str">
        <x:v>["DA-005_chunk_006"]</x:v>
      </x:c>
      <x:c r="L115" s="5" t="str">
        <x:v>["DA-005_chunk_000","DA-005_chunk_005","DA-005_chunk_006"]</x:v>
      </x:c>
      <x:c r="M115" s="7" t="str">
        <x:v>PRIMARY_ONLY</x:v>
      </x:c>
      <x:c r="N115" s="7" t="str">
        <x:v>Y</x:v>
      </x:c>
      <x:c r="O115" s="7" t="str">
        <x:v>codex_reviewed_pending_human</x:v>
      </x:c>
      <x:c r="P115" s="47" t="str">
        <x:v>Y</x:v>
      </x:c>
      <x:c r="Q115" s="48" t="b">
        <x:v>1</x:v>
      </x:c>
      <x:c r="R115" s="47" t="str">
        <x:v>clear</x:v>
      </x:c>
      <x:c r="S115" s="47" t="str">
        <x:v>answer</x:v>
      </x:c>
      <x:c r="T115" s="47" t="str"/>
      <x:c r="U115" s="47" t="str">
        <x:v>[]</x:v>
      </x:c>
      <x:c r="V115" s="47" t="str">
        <x:v>["debt_adjustment"]</x:v>
      </x:c>
      <x:c r="W115" s="47" t="str">
        <x:v>[]</x:v>
      </x:c>
      <x:c r="X115" s="47" t="str">
        <x:v>[]</x:v>
      </x:c>
      <x:c r="Y115" s="47" t="str">
        <x:v>["DA-005"]</x:v>
      </x:c>
      <x:c r="Z115" s="47" t="str">
        <x:v>["개인파산과 면책이란","파산이 선고되면 바로 면책되는 것인가요?","면책불허가 사유는 어떤 것이 있나요?"]</x:v>
      </x:c>
      <x:c r="AA115" s="47" t="str">
        <x:v>면책의 의미와 자동 면책이 아님을 설명하는 두 청크를 필수 근거로 정리.</x:v>
      </x:c>
      <x:c r="AB115" s="47" t="str">
        <x:v>Codex 1차 검수</x:v>
      </x:c>
      <x:c r="AC115" s="47" t="str">
        <x:v>2026-07-30</x:v>
      </x:c>
      <x:c r="AD115" s="47" t="str">
        <x:v>v1.1_gold_review</x:v>
      </x:c>
    </x:row>
    <x:row r="116" ht="38.099998474121094" customHeight="1">
      <x:c r="A116" s="7" t="str">
        <x:f t="shared" si="3"/>
        <x:v>Y</x:v>
      </x:c>
      <x:c r="B116" s="7" t="s">
        <x:v>455</x:v>
      </x:c>
      <x:c r="C116" s="7" t="s">
        <x:v>456</x:v>
      </x:c>
      <x:c r="D116" s="5" t="s">
        <x:v>457</x:v>
      </x:c>
      <x:c r="E116" s="7" t="str">
        <x:v>채무조정</x:v>
      </x:c>
      <x:c r="F116" s="7" t="s">
        <x:v>410</x:v>
      </x:c>
      <x:c r="G116" s="7" t="s">
        <x:v>19</x:v>
      </x:c>
      <x:c r="H116" s="7" t="s">
        <x:v>72</x:v>
      </x:c>
      <x:c r="I116" s="5" t="str">
        <x:v>["https://www.kdic.or.kr/rb/lbltajmt/LbltAjmtSprtPsnRg/selectScrn.do"]</x:v>
      </x:c>
      <x:c r="J116" s="5" t="s">
        <x:v>458</x:v>
      </x:c>
      <x:c r="K116" s="5" t="s">
        <x:v>22</x:v>
      </x:c>
      <x:c r="L116" s="5" t="s">
        <x:v>458</x:v>
      </x:c>
      <x:c r="M116" s="7" t="s">
        <x:v>23</x:v>
      </x:c>
      <x:c r="N116" s="7" t="s">
        <x:v>24</x:v>
      </x:c>
      <x:c r="O116" s="7" t="s">
        <x:v>25</x:v>
      </x:c>
      <x:c r="P116" s="47" t="str">
        <x:v>Y</x:v>
      </x:c>
      <x:c r="Q116" s="48" t="b">
        <x:v>1</x:v>
      </x:c>
      <x:c r="R116" s="47" t="str">
        <x:v>clear</x:v>
      </x:c>
      <x:c r="S116" s="47" t="str">
        <x:v>answer</x:v>
      </x:c>
      <x:c r="T116" s="47" t="str"/>
      <x:c r="U116" s="47" t="str">
        <x:v>[]</x:v>
      </x:c>
      <x:c r="V116" s="47" t="str">
        <x:v>["debt_adjustment"]</x:v>
      </x:c>
      <x:c r="W116" s="47" t="str">
        <x:v>[]</x:v>
      </x:c>
      <x:c r="X116" s="47" t="str">
        <x:v>[]</x:v>
      </x:c>
      <x:c r="Y116" s="47" t="str">
        <x:v>["DA-006"]</x:v>
      </x:c>
      <x:c r="Z116" s="47" t="str">
        <x:v>["개인회생 절차안내"]</x:v>
      </x:c>
      <x:c r="AA116" s="47" t="str"/>
      <x:c r="AB116" s="47" t="str">
        <x:v>Codex 1차 검수</x:v>
      </x:c>
      <x:c r="AC116" s="47" t="str">
        <x:v>2026-07-30</x:v>
      </x:c>
      <x:c r="AD116" s="47" t="str">
        <x:v>v1.1_gold_review</x:v>
      </x:c>
    </x:row>
    <x:row r="117" ht="38.099998474121094" customHeight="1">
      <x:c r="A117" s="7" t="str">
        <x:f t="shared" si="3"/>
        <x:v>Y</x:v>
      </x:c>
      <x:c r="B117" s="7" t="s">
        <x:v>459</x:v>
      </x:c>
      <x:c r="C117" s="7" t="s">
        <x:v>460</x:v>
      </x:c>
      <x:c r="D117" s="5" t="s">
        <x:v>461</x:v>
      </x:c>
      <x:c r="E117" s="7" t="str">
        <x:v>채무조정</x:v>
      </x:c>
      <x:c r="F117" s="7" t="s">
        <x:v>410</x:v>
      </x:c>
      <x:c r="G117" s="7" t="s">
        <x:v>19</x:v>
      </x:c>
      <x:c r="H117" s="7" t="s">
        <x:v>72</x:v>
      </x:c>
      <x:c r="I117" s="5" t="str">
        <x:v>["https://www.kdic.or.kr/rb/lbltajmt/LbltAjmtSprtPsnRg/selectScrn.do"]</x:v>
      </x:c>
      <x:c r="J117" s="5" t="s">
        <x:v>462</x:v>
      </x:c>
      <x:c r="K117" s="5" t="s">
        <x:v>22</x:v>
      </x:c>
      <x:c r="L117" s="5" t="s">
        <x:v>462</x:v>
      </x:c>
      <x:c r="M117" s="7" t="s">
        <x:v>23</x:v>
      </x:c>
      <x:c r="N117" s="7" t="s">
        <x:v>24</x:v>
      </x:c>
      <x:c r="O117" s="7" t="s">
        <x:v>25</x:v>
      </x:c>
      <x:c r="P117" s="47" t="str">
        <x:v>Y</x:v>
      </x:c>
      <x:c r="Q117" s="48" t="b">
        <x:v>1</x:v>
      </x:c>
      <x:c r="R117" s="47" t="str">
        <x:v>clear</x:v>
      </x:c>
      <x:c r="S117" s="47" t="str">
        <x:v>answer</x:v>
      </x:c>
      <x:c r="T117" s="47" t="str"/>
      <x:c r="U117" s="47" t="str">
        <x:v>[]</x:v>
      </x:c>
      <x:c r="V117" s="47" t="str">
        <x:v>["debt_adjustment"]</x:v>
      </x:c>
      <x:c r="W117" s="47" t="str">
        <x:v>[]</x:v>
      </x:c>
      <x:c r="X117" s="47" t="str">
        <x:v>[]</x:v>
      </x:c>
      <x:c r="Y117" s="47" t="str">
        <x:v>["DA-006"]</x:v>
      </x:c>
      <x:c r="Z117" s="47" t="str">
        <x:v>["변제기간"]</x:v>
      </x:c>
      <x:c r="AA117" s="47" t="str"/>
      <x:c r="AB117" s="47" t="str">
        <x:v>Codex 1차 검수</x:v>
      </x:c>
      <x:c r="AC117" s="47" t="str">
        <x:v>2026-07-30</x:v>
      </x:c>
      <x:c r="AD117" s="47" t="str">
        <x:v>v1.1_gold_review</x:v>
      </x:c>
    </x:row>
    <x:row r="118" ht="38.099998474121094" customHeight="1">
      <x:c r="A118" s="7" t="str">
        <x:f t="shared" si="3"/>
        <x:v>Y</x:v>
      </x:c>
      <x:c r="B118" s="7" t="s">
        <x:v>463</x:v>
      </x:c>
      <x:c r="C118" s="7" t="s">
        <x:v>464</x:v>
      </x:c>
      <x:c r="D118" s="5" t="s">
        <x:v>465</x:v>
      </x:c>
      <x:c r="E118" s="7" t="str">
        <x:v>채무조정</x:v>
      </x:c>
      <x:c r="F118" s="7" t="s">
        <x:v>410</x:v>
      </x:c>
      <x:c r="G118" s="7" t="s">
        <x:v>32</x:v>
      </x:c>
      <x:c r="H118" s="7" t="s">
        <x:v>72</x:v>
      </x:c>
      <x:c r="I118" s="5" t="str">
        <x:v>["https://www.kdic.or.kr/sp/sprtfund/SprtFndDebtDlngAplyGudn/selectScrn.do"]</x:v>
      </x:c>
      <x:c r="J118" s="5" t="s">
        <x:v>466</x:v>
      </x:c>
      <x:c r="K118" s="5" t="s">
        <x:v>22</x:v>
      </x:c>
      <x:c r="L118" s="5" t="s">
        <x:v>466</x:v>
      </x:c>
      <x:c r="M118" s="7" t="s">
        <x:v>117</x:v>
      </x:c>
      <x:c r="N118" s="7" t="s">
        <x:v>40</x:v>
      </x:c>
      <x:c r="O118" s="7" t="s">
        <x:v>25</x:v>
      </x:c>
      <x:c r="P118" s="47" t="str">
        <x:v>Y</x:v>
      </x:c>
      <x:c r="Q118" s="48" t="b">
        <x:v>1</x:v>
      </x:c>
      <x:c r="R118" s="47" t="str">
        <x:v>clear</x:v>
      </x:c>
      <x:c r="S118" s="47" t="str">
        <x:v>answer</x:v>
      </x:c>
      <x:c r="T118" s="47" t="str"/>
      <x:c r="U118" s="47" t="str">
        <x:v>[]</x:v>
      </x:c>
      <x:c r="V118" s="47" t="str">
        <x:v>["debt_adjustment"]</x:v>
      </x:c>
      <x:c r="W118" s="47" t="str">
        <x:v>[]</x:v>
      </x:c>
      <x:c r="X118" s="47" t="str">
        <x:v>[]</x:v>
      </x:c>
      <x:c r="Y118" s="47" t="str">
        <x:v>["DA-007"]</x:v>
      </x:c>
      <x:c r="Z118" s="47" t="str">
        <x:v>["신청방법","교부방법"]</x:v>
      </x:c>
      <x:c r="AA118" s="47" t="str"/>
      <x:c r="AB118" s="47" t="str">
        <x:v>Codex 1차 검수</x:v>
      </x:c>
      <x:c r="AC118" s="47" t="str">
        <x:v>2026-07-30</x:v>
      </x:c>
      <x:c r="AD118" s="47" t="str">
        <x:v>v1.1_gold_review</x:v>
      </x:c>
    </x:row>
    <x:row r="119" ht="38.099998474121094" customHeight="1">
      <x:c r="A119" s="7" t="str">
        <x:f t="shared" si="3"/>
        <x:v>Y</x:v>
      </x:c>
      <x:c r="B119" s="7" t="s">
        <x:v>467</x:v>
      </x:c>
      <x:c r="C119" s="7" t="s">
        <x:v>468</x:v>
      </x:c>
      <x:c r="D119" s="5" t="s">
        <x:v>469</x:v>
      </x:c>
      <x:c r="E119" s="7" t="str">
        <x:v>채무조정</x:v>
      </x:c>
      <x:c r="F119" s="7" t="s">
        <x:v>410</x:v>
      </x:c>
      <x:c r="G119" s="7" t="s">
        <x:v>19</x:v>
      </x:c>
      <x:c r="H119" s="7" t="s">
        <x:v>72</x:v>
      </x:c>
      <x:c r="I119" s="5" t="str">
        <x:v>["https://www.kdic.or.kr/sp/sprtfund/SprtFndDebtDlngAplyGudn/selectScrn.do"]</x:v>
      </x:c>
      <x:c r="J119" s="5" t="s">
        <x:v>470</x:v>
      </x:c>
      <x:c r="K119" s="5" t="s">
        <x:v>22</x:v>
      </x:c>
      <x:c r="L119" s="5" t="s">
        <x:v>470</x:v>
      </x:c>
      <x:c r="M119" s="7" t="s">
        <x:v>23</x:v>
      </x:c>
      <x:c r="N119" s="7" t="s">
        <x:v>24</x:v>
      </x:c>
      <x:c r="O119" s="7" t="s">
        <x:v>25</x:v>
      </x:c>
      <x:c r="P119" s="47" t="str">
        <x:v>Y</x:v>
      </x:c>
      <x:c r="Q119" s="48" t="b">
        <x:v>1</x:v>
      </x:c>
      <x:c r="R119" s="47" t="str">
        <x:v>clear</x:v>
      </x:c>
      <x:c r="S119" s="47" t="str">
        <x:v>answer</x:v>
      </x:c>
      <x:c r="T119" s="47" t="str"/>
      <x:c r="U119" s="47" t="str">
        <x:v>[]</x:v>
      </x:c>
      <x:c r="V119" s="47" t="str">
        <x:v>["debt_adjustment"]</x:v>
      </x:c>
      <x:c r="W119" s="47" t="str">
        <x:v>[]</x:v>
      </x:c>
      <x:c r="X119" s="47" t="str">
        <x:v>[]</x:v>
      </x:c>
      <x:c r="Y119" s="47" t="str">
        <x:v>["DA-007"]</x:v>
      </x:c>
      <x:c r="Z119" s="47" t="str">
        <x:v>["신청방법"]</x:v>
      </x:c>
      <x:c r="AA119" s="47" t="str"/>
      <x:c r="AB119" s="47" t="str">
        <x:v>Codex 1차 검수</x:v>
      </x:c>
      <x:c r="AC119" s="47" t="str">
        <x:v>2026-07-30</x:v>
      </x:c>
      <x:c r="AD119" s="47" t="str">
        <x:v>v1.1_gold_review</x:v>
      </x:c>
    </x:row>
    <x:row r="120" ht="38.099998474121094" customHeight="1">
      <x:c r="A120" s="7" t="str">
        <x:f t="shared" si="3"/>
        <x:v>Y</x:v>
      </x:c>
      <x:c r="B120" s="7" t="s">
        <x:v>471</x:v>
      </x:c>
      <x:c r="C120" s="7" t="s">
        <x:v>472</x:v>
      </x:c>
      <x:c r="D120" s="5" t="s">
        <x:v>473</x:v>
      </x:c>
      <x:c r="E120" s="7" t="str">
        <x:v>채무조정</x:v>
      </x:c>
      <x:c r="F120" s="7" t="s">
        <x:v>410</x:v>
      </x:c>
      <x:c r="G120" s="7" t="s">
        <x:v>19</x:v>
      </x:c>
      <x:c r="H120" s="7" t="s">
        <x:v>72</x:v>
      </x:c>
      <x:c r="I120" s="5" t="str">
        <x:v>["https://fins.kdic.or.kr/cm/bbs/selectFaqLbltInfoInq.do"]</x:v>
      </x:c>
      <x:c r="J120" s="5" t="s">
        <x:v>474</x:v>
      </x:c>
      <x:c r="K120" s="5" t="s">
        <x:v>22</x:v>
      </x:c>
      <x:c r="L120" s="5" t="s">
        <x:v>474</x:v>
      </x:c>
      <x:c r="M120" s="7" t="s">
        <x:v>23</x:v>
      </x:c>
      <x:c r="N120" s="7" t="s">
        <x:v>24</x:v>
      </x:c>
      <x:c r="O120" s="7" t="s">
        <x:v>25</x:v>
      </x:c>
      <x:c r="P120" s="47" t="str">
        <x:v>Y</x:v>
      </x:c>
      <x:c r="Q120" s="48" t="b">
        <x:v>1</x:v>
      </x:c>
      <x:c r="R120" s="47" t="str">
        <x:v>clear</x:v>
      </x:c>
      <x:c r="S120" s="47" t="str">
        <x:v>answer</x:v>
      </x:c>
      <x:c r="T120" s="47" t="str"/>
      <x:c r="U120" s="47" t="str">
        <x:v>[]</x:v>
      </x:c>
      <x:c r="V120" s="47" t="str">
        <x:v>["debt_adjustment"]</x:v>
      </x:c>
      <x:c r="W120" s="47" t="str">
        <x:v>[]</x:v>
      </x:c>
      <x:c r="X120" s="47" t="str">
        <x:v>[]</x:v>
      </x:c>
      <x:c r="Y120" s="47" t="str">
        <x:v>["DA-008"]</x:v>
      </x:c>
      <x:c r="Z120" s="47" t="str">
        <x:v>["모바일 환경에서도 채무정보 조회가 가능한가요?"]</x:v>
      </x:c>
      <x:c r="AA120" s="47" t="str"/>
      <x:c r="AB120" s="47" t="str">
        <x:v>Codex 1차 검수</x:v>
      </x:c>
      <x:c r="AC120" s="47" t="str">
        <x:v>2026-07-30</x:v>
      </x:c>
      <x:c r="AD120" s="47" t="str">
        <x:v>v1.1_gold_review</x:v>
      </x:c>
    </x:row>
    <x:row r="121" ht="38.099998474121094" customHeight="1">
      <x:c r="A121" s="7" t="str">
        <x:f t="shared" si="3"/>
        <x:v>Y</x:v>
      </x:c>
      <x:c r="B121" s="7" t="s">
        <x:v>475</x:v>
      </x:c>
      <x:c r="C121" s="7" t="s">
        <x:v>476</x:v>
      </x:c>
      <x:c r="D121" s="5" t="s">
        <x:v>477</x:v>
      </x:c>
      <x:c r="E121" s="7" t="str">
        <x:v>은닉재산 신고</x:v>
      </x:c>
      <x:c r="F121" s="7" t="s">
        <x:v>478</x:v>
      </x:c>
      <x:c r="G121" s="7" t="s">
        <x:v>32</x:v>
      </x:c>
      <x:c r="H121" s="7" t="s">
        <x:v>72</x:v>
      </x:c>
      <x:c r="I121" s="5" t="str">
        <x:v>["https://www.kdic.or.kr/sp/sprtfund/SprtFndIvsfalUnrlIlglDclrGudn/selectScrn.do"]</x:v>
      </x:c>
      <x:c r="J121" s="5" t="s">
        <x:v>479</x:v>
      </x:c>
      <x:c r="K121" s="5" t="s">
        <x:v>480</x:v>
      </x:c>
      <x:c r="L121" s="5" t="s">
        <x:v>481</x:v>
      </x:c>
      <x:c r="M121" s="7" t="s">
        <x:v>23</x:v>
      </x:c>
      <x:c r="N121" s="7" t="s">
        <x:v>24</x:v>
      </x:c>
      <x:c r="O121" s="7" t="s">
        <x:v>25</x:v>
      </x:c>
      <x:c r="P121" s="47" t="str">
        <x:v>Y</x:v>
      </x:c>
      <x:c r="Q121" s="48" t="b">
        <x:v>1</x:v>
      </x:c>
      <x:c r="R121" s="47" t="str">
        <x:v>clear</x:v>
      </x:c>
      <x:c r="S121" s="47" t="str">
        <x:v>answer</x:v>
      </x:c>
      <x:c r="T121" s="47" t="str"/>
      <x:c r="U121" s="47" t="str">
        <x:v>[]</x:v>
      </x:c>
      <x:c r="V121" s="47" t="str">
        <x:v>["hidden_assets_report"]</x:v>
      </x:c>
      <x:c r="W121" s="47" t="str">
        <x:v>[]</x:v>
      </x:c>
      <x:c r="X121" s="47" t="str">
        <x:v>[]</x:v>
      </x:c>
      <x:c r="Y121" s="47" t="str">
        <x:v>["HP-003"]</x:v>
      </x:c>
      <x:c r="Z121" s="47" t="str">
        <x:v>["불법행위 신고","신고방식"]</x:v>
      </x:c>
      <x:c r="AA121" s="47" t="str"/>
      <x:c r="AB121" s="47" t="str">
        <x:v>Codex 1차 검수</x:v>
      </x:c>
      <x:c r="AC121" s="47" t="str">
        <x:v>2026-07-30</x:v>
      </x:c>
      <x:c r="AD121" s="47" t="str">
        <x:v>v1.1_gold_review</x:v>
      </x:c>
    </x:row>
    <x:row r="122" ht="38.099998474121094" customHeight="1">
      <x:c r="A122" s="7" t="str">
        <x:f t="shared" si="3"/>
        <x:v>Y</x:v>
      </x:c>
      <x:c r="B122" s="7" t="s">
        <x:v>482</x:v>
      </x:c>
      <x:c r="C122" s="7" t="s">
        <x:v>483</x:v>
      </x:c>
      <x:c r="D122" s="5" t="s">
        <x:v>484</x:v>
      </x:c>
      <x:c r="E122" s="7" t="str">
        <x:v>은닉재산 신고</x:v>
      </x:c>
      <x:c r="F122" s="7" t="s">
        <x:v>478</x:v>
      </x:c>
      <x:c r="G122" s="7" t="s">
        <x:v>32</x:v>
      </x:c>
      <x:c r="H122" s="7" t="s">
        <x:v>72</x:v>
      </x:c>
      <x:c r="I122" s="5" t="str">
        <x:v>["https://www.kdic.or.kr/sp/sprtfund/SprtFndCncmDclrGudn/selectScrn.do","https://www.kdic.or.kr/sp/sprtfund/SprtFndIvsfalUnrlIlglDclrGudn/selectScrn.do"]</x:v>
      </x:c>
      <x:c r="J122" s="5" t="str">
        <x:v>["HP-001_chunk_000","HP-003_chunk_000"]</x:v>
      </x:c>
      <x:c r="K122" s="5" t="str">
        <x:v>["HP-003_chunk_001"]</x:v>
      </x:c>
      <x:c r="L122" s="5" t="str">
        <x:v>["HP-001_chunk_000","HP-003_chunk_000","HP-003_chunk_001"]</x:v>
      </x:c>
      <x:c r="M122" s="7" t="str">
        <x:v>PRIMARY_ONLY</x:v>
      </x:c>
      <x:c r="N122" s="7" t="str">
        <x:v>Y</x:v>
      </x:c>
      <x:c r="O122" s="7" t="str">
        <x:v>codex_reviewed_pending_human</x:v>
      </x:c>
      <x:c r="P122" s="47" t="str">
        <x:v>Y</x:v>
      </x:c>
      <x:c r="Q122" s="48" t="b">
        <x:v>1</x:v>
      </x:c>
      <x:c r="R122" s="47" t="str">
        <x:v>clear</x:v>
      </x:c>
      <x:c r="S122" s="47" t="str">
        <x:v>answer</x:v>
      </x:c>
      <x:c r="T122" s="47" t="str"/>
      <x:c r="U122" s="47" t="str">
        <x:v>[]</x:v>
      </x:c>
      <x:c r="V122" s="47" t="str">
        <x:v>["hidden_assets_report"]</x:v>
      </x:c>
      <x:c r="W122" s="47" t="str">
        <x:v>[]</x:v>
      </x:c>
      <x:c r="X122" s="47" t="str">
        <x:v>[]</x:v>
      </x:c>
      <x:c r="Y122" s="47" t="str">
        <x:v>["HP-001","HP-003"]</x:v>
      </x:c>
      <x:c r="Z122" s="47" t="str">
        <x:v>["은닉재산 신고","불법행위 신고","신고방식"]</x:v>
      </x:c>
      <x:c r="AA122" s="47" t="str">
        <x:v>은닉재산 신고와 불법행위 신고 양쪽 정의 청크를 모두 연결.</x:v>
      </x:c>
      <x:c r="AB122" s="47" t="str">
        <x:v>Codex 1차 검수</x:v>
      </x:c>
      <x:c r="AC122" s="47" t="str">
        <x:v>2026-07-30</x:v>
      </x:c>
      <x:c r="AD122" s="47" t="str">
        <x:v>v1.1_gold_review</x:v>
      </x:c>
    </x:row>
    <x:row r="123" ht="38.099998474121094" customHeight="1">
      <x:c r="A123" s="7" t="str">
        <x:f t="shared" si="3"/>
        <x:v>N</x:v>
      </x:c>
      <x:c r="B123" s="7" t="s">
        <x:v>485</x:v>
      </x:c>
      <x:c r="C123" s="7" t="s">
        <x:v>486</x:v>
      </x:c>
      <x:c r="D123" s="5" t="s">
        <x:v>487</x:v>
      </x:c>
      <x:c r="E123" s="7" t="s">
        <x:v>488</x:v>
      </x:c>
      <x:c r="F123" s="7" t="s">
        <x:v>478</x:v>
      </x:c>
      <x:c r="G123" s="7" t="s">
        <x:v>19</x:v>
      </x:c>
      <x:c r="H123" s="7" t="s">
        <x:v>91</x:v>
      </x:c>
      <x:c r="I123" s="5" t="s">
        <x:v>22</x:v>
      </x:c>
      <x:c r="J123" s="5" t="s">
        <x:v>22</x:v>
      </x:c>
      <x:c r="K123" s="5" t="s">
        <x:v>22</x:v>
      </x:c>
      <x:c r="L123" s="5" t="s">
        <x:v>22</x:v>
      </x:c>
      <x:c r="M123" s="7"/>
      <x:c r="N123" s="7" t="s">
        <x:v>24</x:v>
      </x:c>
      <x:c r="O123" s="7" t="s">
        <x:v>25</x:v>
      </x:c>
      <x:c r="P123" s="47"/>
      <x:c r="Q123" s="47"/>
      <x:c r="R123" s="47"/>
      <x:c r="S123" s="47"/>
      <x:c r="T123" s="47"/>
      <x:c r="U123" s="47"/>
      <x:c r="V123" s="47"/>
      <x:c r="W123" s="47"/>
      <x:c r="X123" s="47"/>
      <x:c r="Y123" s="47"/>
      <x:c r="Z123" s="47"/>
      <x:c r="AA123" s="47"/>
      <x:c r="AB123" s="47"/>
      <x:c r="AC123" s="47"/>
      <x:c r="AD123" s="47"/>
    </x:row>
    <x:row r="124" ht="38.099998474121094" customHeight="1">
      <x:c r="A124" s="7" t="str">
        <x:f t="shared" si="3"/>
        <x:v>N</x:v>
      </x:c>
      <x:c r="B124" s="7" t="s">
        <x:v>489</x:v>
      </x:c>
      <x:c r="C124" s="7" t="s">
        <x:v>490</x:v>
      </x:c>
      <x:c r="D124" s="5" t="s">
        <x:v>491</x:v>
      </x:c>
      <x:c r="E124" s="7" t="s">
        <x:v>216</x:v>
      </x:c>
      <x:c r="F124" s="7" t="s">
        <x:v>492</x:v>
      </x:c>
      <x:c r="G124" s="7" t="s">
        <x:v>19</x:v>
      </x:c>
      <x:c r="H124" s="7" t="s">
        <x:v>20</x:v>
      </x:c>
      <x:c r="I124" s="5" t="s">
        <x:v>22</x:v>
      </x:c>
      <x:c r="J124" s="5" t="s">
        <x:v>22</x:v>
      </x:c>
      <x:c r="K124" s="5" t="s">
        <x:v>22</x:v>
      </x:c>
      <x:c r="L124" s="5" t="s">
        <x:v>22</x:v>
      </x:c>
      <x:c r="M124" s="7"/>
      <x:c r="N124" s="7" t="s">
        <x:v>24</x:v>
      </x:c>
      <x:c r="O124" s="7" t="s">
        <x:v>25</x:v>
      </x:c>
      <x:c r="P124" s="47"/>
      <x:c r="Q124" s="47"/>
      <x:c r="R124" s="47"/>
      <x:c r="S124" s="47"/>
      <x:c r="T124" s="47"/>
      <x:c r="U124" s="47"/>
      <x:c r="V124" s="47"/>
      <x:c r="W124" s="47"/>
      <x:c r="X124" s="47"/>
      <x:c r="Y124" s="47"/>
      <x:c r="Z124" s="47"/>
      <x:c r="AA124" s="47"/>
      <x:c r="AB124" s="47"/>
      <x:c r="AC124" s="47"/>
      <x:c r="AD124" s="47"/>
    </x:row>
    <x:row r="125" ht="38.099998474121094" customHeight="1">
      <x:c r="A125" s="7" t="str">
        <x:f t="shared" si="3"/>
        <x:v>N</x:v>
      </x:c>
      <x:c r="B125" s="7" t="s">
        <x:v>493</x:v>
      </x:c>
      <x:c r="C125" s="7" t="s">
        <x:v>494</x:v>
      </x:c>
      <x:c r="D125" s="5" t="s">
        <x:v>495</x:v>
      </x:c>
      <x:c r="E125" s="7" t="s">
        <x:v>216</x:v>
      </x:c>
      <x:c r="F125" s="7" t="s">
        <x:v>492</x:v>
      </x:c>
      <x:c r="G125" s="7" t="s">
        <x:v>19</x:v>
      </x:c>
      <x:c r="H125" s="7" t="s">
        <x:v>20</x:v>
      </x:c>
      <x:c r="I125" s="5" t="s">
        <x:v>22</x:v>
      </x:c>
      <x:c r="J125" s="5" t="s">
        <x:v>22</x:v>
      </x:c>
      <x:c r="K125" s="5" t="s">
        <x:v>22</x:v>
      </x:c>
      <x:c r="L125" s="5" t="s">
        <x:v>22</x:v>
      </x:c>
      <x:c r="M125" s="7"/>
      <x:c r="N125" s="7" t="s">
        <x:v>24</x:v>
      </x:c>
      <x:c r="O125" s="7" t="s">
        <x:v>25</x:v>
      </x:c>
      <x:c r="P125" s="47"/>
      <x:c r="Q125" s="47"/>
      <x:c r="R125" s="47"/>
      <x:c r="S125" s="47"/>
      <x:c r="T125" s="47"/>
      <x:c r="U125" s="47"/>
      <x:c r="V125" s="47"/>
      <x:c r="W125" s="47"/>
      <x:c r="X125" s="47"/>
      <x:c r="Y125" s="47"/>
      <x:c r="Z125" s="47"/>
      <x:c r="AA125" s="47"/>
      <x:c r="AB125" s="47"/>
      <x:c r="AC125" s="47"/>
      <x:c r="AD125" s="47"/>
    </x:row>
    <x:row r="126" ht="38.099998474121094" customHeight="1">
      <x:c r="A126" s="7" t="str">
        <x:f t="shared" si="3"/>
        <x:v>N</x:v>
      </x:c>
      <x:c r="B126" s="7" t="s">
        <x:v>496</x:v>
      </x:c>
      <x:c r="C126" s="7" t="s">
        <x:v>497</x:v>
      </x:c>
      <x:c r="D126" s="5" t="s">
        <x:v>498</x:v>
      </x:c>
      <x:c r="E126" s="7" t="s">
        <x:v>216</x:v>
      </x:c>
      <x:c r="F126" s="7" t="s">
        <x:v>492</x:v>
      </x:c>
      <x:c r="G126" s="7" t="s">
        <x:v>19</x:v>
      </x:c>
      <x:c r="H126" s="7" t="s">
        <x:v>20</x:v>
      </x:c>
      <x:c r="I126" s="5" t="s">
        <x:v>22</x:v>
      </x:c>
      <x:c r="J126" s="5" t="s">
        <x:v>22</x:v>
      </x:c>
      <x:c r="K126" s="5" t="s">
        <x:v>22</x:v>
      </x:c>
      <x:c r="L126" s="5" t="s">
        <x:v>22</x:v>
      </x:c>
      <x:c r="M126" s="7"/>
      <x:c r="N126" s="7" t="s">
        <x:v>24</x:v>
      </x:c>
      <x:c r="O126" s="7" t="s">
        <x:v>25</x:v>
      </x:c>
      <x:c r="P126" s="47"/>
      <x:c r="Q126" s="47"/>
      <x:c r="R126" s="47"/>
      <x:c r="S126" s="47"/>
      <x:c r="T126" s="47"/>
      <x:c r="U126" s="47"/>
      <x:c r="V126" s="47"/>
      <x:c r="W126" s="47"/>
      <x:c r="X126" s="47"/>
      <x:c r="Y126" s="47"/>
      <x:c r="Z126" s="47"/>
      <x:c r="AA126" s="47"/>
      <x:c r="AB126" s="47"/>
      <x:c r="AC126" s="47"/>
      <x:c r="AD126" s="47"/>
    </x:row>
    <x:row r="127" ht="38.099998474121094" customHeight="1">
      <x:c r="A127" s="7" t="str">
        <x:f t="shared" si="3"/>
        <x:v>N</x:v>
      </x:c>
      <x:c r="B127" s="7" t="s">
        <x:v>499</x:v>
      </x:c>
      <x:c r="C127" s="7" t="s">
        <x:v>500</x:v>
      </x:c>
      <x:c r="D127" s="5" t="s">
        <x:v>501</x:v>
      </x:c>
      <x:c r="E127" s="7" t="s">
        <x:v>216</x:v>
      </x:c>
      <x:c r="F127" s="7" t="s">
        <x:v>492</x:v>
      </x:c>
      <x:c r="G127" s="7" t="s">
        <x:v>19</x:v>
      </x:c>
      <x:c r="H127" s="7" t="s">
        <x:v>20</x:v>
      </x:c>
      <x:c r="I127" s="5" t="s">
        <x:v>22</x:v>
      </x:c>
      <x:c r="J127" s="5" t="s">
        <x:v>22</x:v>
      </x:c>
      <x:c r="K127" s="5" t="s">
        <x:v>22</x:v>
      </x:c>
      <x:c r="L127" s="5" t="s">
        <x:v>22</x:v>
      </x:c>
      <x:c r="M127" s="7"/>
      <x:c r="N127" s="7" t="s">
        <x:v>24</x:v>
      </x:c>
      <x:c r="O127" s="7" t="s">
        <x:v>25</x:v>
      </x:c>
      <x:c r="P127" s="47"/>
      <x:c r="Q127" s="47"/>
      <x:c r="R127" s="47"/>
      <x:c r="S127" s="47"/>
      <x:c r="T127" s="47"/>
      <x:c r="U127" s="47"/>
      <x:c r="V127" s="47"/>
      <x:c r="W127" s="47"/>
      <x:c r="X127" s="47"/>
      <x:c r="Y127" s="47"/>
      <x:c r="Z127" s="47"/>
      <x:c r="AA127" s="47"/>
      <x:c r="AB127" s="47"/>
      <x:c r="AC127" s="47"/>
      <x:c r="AD127" s="47"/>
    </x:row>
    <x:row r="128" ht="38.099998474121094" customHeight="1">
      <x:c r="A128" s="7" t="str">
        <x:f t="shared" si="3"/>
        <x:v>N</x:v>
      </x:c>
      <x:c r="B128" s="7" t="s">
        <x:v>502</x:v>
      </x:c>
      <x:c r="C128" s="7" t="s">
        <x:v>503</x:v>
      </x:c>
      <x:c r="D128" s="5" t="s">
        <x:v>504</x:v>
      </x:c>
      <x:c r="E128" s="7" t="s">
        <x:v>216</x:v>
      </x:c>
      <x:c r="F128" s="7" t="s">
        <x:v>492</x:v>
      </x:c>
      <x:c r="G128" s="7" t="s">
        <x:v>19</x:v>
      </x:c>
      <x:c r="H128" s="7" t="s">
        <x:v>20</x:v>
      </x:c>
      <x:c r="I128" s="5" t="s">
        <x:v>22</x:v>
      </x:c>
      <x:c r="J128" s="5" t="s">
        <x:v>22</x:v>
      </x:c>
      <x:c r="K128" s="5" t="s">
        <x:v>22</x:v>
      </x:c>
      <x:c r="L128" s="5" t="s">
        <x:v>22</x:v>
      </x:c>
      <x:c r="M128" s="7"/>
      <x:c r="N128" s="7" t="s">
        <x:v>24</x:v>
      </x:c>
      <x:c r="O128" s="7" t="s">
        <x:v>25</x:v>
      </x:c>
      <x:c r="P128" s="47"/>
      <x:c r="Q128" s="47"/>
      <x:c r="R128" s="47"/>
      <x:c r="S128" s="47"/>
      <x:c r="T128" s="47"/>
      <x:c r="U128" s="47"/>
      <x:c r="V128" s="47"/>
      <x:c r="W128" s="47"/>
      <x:c r="X128" s="47"/>
      <x:c r="Y128" s="47"/>
      <x:c r="Z128" s="47"/>
      <x:c r="AA128" s="47"/>
      <x:c r="AB128" s="47"/>
      <x:c r="AC128" s="47"/>
      <x:c r="AD128" s="47"/>
    </x:row>
    <x:row r="129" ht="38.099998474121094" customHeight="1">
      <x:c r="A129" s="7" t="str">
        <x:f t="shared" si="3"/>
        <x:v>N</x:v>
      </x:c>
      <x:c r="B129" s="7" t="s">
        <x:v>505</x:v>
      </x:c>
      <x:c r="C129" s="7" t="s">
        <x:v>506</x:v>
      </x:c>
      <x:c r="D129" s="5" t="s">
        <x:v>507</x:v>
      </x:c>
      <x:c r="E129" s="7" t="s">
        <x:v>216</x:v>
      </x:c>
      <x:c r="F129" s="7" t="s">
        <x:v>492</x:v>
      </x:c>
      <x:c r="G129" s="7" t="s">
        <x:v>19</x:v>
      </x:c>
      <x:c r="H129" s="7" t="s">
        <x:v>20</x:v>
      </x:c>
      <x:c r="I129" s="5" t="s">
        <x:v>22</x:v>
      </x:c>
      <x:c r="J129" s="5" t="s">
        <x:v>22</x:v>
      </x:c>
      <x:c r="K129" s="5" t="s">
        <x:v>22</x:v>
      </x:c>
      <x:c r="L129" s="5" t="s">
        <x:v>22</x:v>
      </x:c>
      <x:c r="M129" s="7"/>
      <x:c r="N129" s="7" t="s">
        <x:v>24</x:v>
      </x:c>
      <x:c r="O129" s="7" t="s">
        <x:v>25</x:v>
      </x:c>
      <x:c r="P129" s="47"/>
      <x:c r="Q129" s="47"/>
      <x:c r="R129" s="47"/>
      <x:c r="S129" s="47"/>
      <x:c r="T129" s="47"/>
      <x:c r="U129" s="47"/>
      <x:c r="V129" s="47"/>
      <x:c r="W129" s="47"/>
      <x:c r="X129" s="47"/>
      <x:c r="Y129" s="47"/>
      <x:c r="Z129" s="47"/>
      <x:c r="AA129" s="47"/>
      <x:c r="AB129" s="47"/>
      <x:c r="AC129" s="47"/>
      <x:c r="AD129" s="47"/>
    </x:row>
    <x:row r="130" ht="38.099998474121094" customHeight="1">
      <x:c r="A130" s="7" t="str">
        <x:f t="shared" ref="A130:A152" si="4">IF(OR(L130="",L130="[]"),"N","Y")</x:f>
        <x:v>N</x:v>
      </x:c>
      <x:c r="B130" s="7" t="s">
        <x:v>508</x:v>
      </x:c>
      <x:c r="C130" s="7" t="s">
        <x:v>509</x:v>
      </x:c>
      <x:c r="D130" s="5" t="s">
        <x:v>510</x:v>
      </x:c>
      <x:c r="E130" s="7" t="s">
        <x:v>216</x:v>
      </x:c>
      <x:c r="F130" s="7" t="s">
        <x:v>492</x:v>
      </x:c>
      <x:c r="G130" s="7" t="s">
        <x:v>32</x:v>
      </x:c>
      <x:c r="H130" s="7" t="s">
        <x:v>20</x:v>
      </x:c>
      <x:c r="I130" s="5" t="s">
        <x:v>22</x:v>
      </x:c>
      <x:c r="J130" s="5" t="s">
        <x:v>22</x:v>
      </x:c>
      <x:c r="K130" s="5" t="s">
        <x:v>22</x:v>
      </x:c>
      <x:c r="L130" s="5" t="s">
        <x:v>22</x:v>
      </x:c>
      <x:c r="M130" s="7"/>
      <x:c r="N130" s="7" t="s">
        <x:v>24</x:v>
      </x:c>
      <x:c r="O130" s="7" t="s">
        <x:v>25</x:v>
      </x:c>
      <x:c r="P130" s="47"/>
      <x:c r="Q130" s="47"/>
      <x:c r="R130" s="47"/>
      <x:c r="S130" s="47"/>
      <x:c r="T130" s="47"/>
      <x:c r="U130" s="47"/>
      <x:c r="V130" s="47"/>
      <x:c r="W130" s="47"/>
      <x:c r="X130" s="47"/>
      <x:c r="Y130" s="47"/>
      <x:c r="Z130" s="47"/>
      <x:c r="AA130" s="47"/>
      <x:c r="AB130" s="47"/>
      <x:c r="AC130" s="47"/>
      <x:c r="AD130" s="47"/>
    </x:row>
    <x:row r="131" ht="38.099998474121094" customHeight="1">
      <x:c r="A131" s="7" t="str">
        <x:f t="shared" si="4"/>
        <x:v>N</x:v>
      </x:c>
      <x:c r="B131" s="7" t="s">
        <x:v>511</x:v>
      </x:c>
      <x:c r="C131" s="7" t="s">
        <x:v>512</x:v>
      </x:c>
      <x:c r="D131" s="5" t="s">
        <x:v>513</x:v>
      </x:c>
      <x:c r="E131" s="7" t="s">
        <x:v>216</x:v>
      </x:c>
      <x:c r="F131" s="7" t="s">
        <x:v>492</x:v>
      </x:c>
      <x:c r="G131" s="7" t="s">
        <x:v>19</x:v>
      </x:c>
      <x:c r="H131" s="7" t="s">
        <x:v>20</x:v>
      </x:c>
      <x:c r="I131" s="5" t="s">
        <x:v>22</x:v>
      </x:c>
      <x:c r="J131" s="5" t="s">
        <x:v>22</x:v>
      </x:c>
      <x:c r="K131" s="5" t="s">
        <x:v>22</x:v>
      </x:c>
      <x:c r="L131" s="5" t="s">
        <x:v>22</x:v>
      </x:c>
      <x:c r="M131" s="7"/>
      <x:c r="N131" s="7" t="s">
        <x:v>24</x:v>
      </x:c>
      <x:c r="O131" s="7" t="s">
        <x:v>25</x:v>
      </x:c>
      <x:c r="P131" s="47"/>
      <x:c r="Q131" s="47"/>
      <x:c r="R131" s="47"/>
      <x:c r="S131" s="47"/>
      <x:c r="T131" s="47"/>
      <x:c r="U131" s="47"/>
      <x:c r="V131" s="47"/>
      <x:c r="W131" s="47"/>
      <x:c r="X131" s="47"/>
      <x:c r="Y131" s="47"/>
      <x:c r="Z131" s="47"/>
      <x:c r="AA131" s="47"/>
      <x:c r="AB131" s="47"/>
      <x:c r="AC131" s="47"/>
      <x:c r="AD131" s="47"/>
    </x:row>
    <x:row r="132" ht="38.099998474121094" customHeight="1">
      <x:c r="A132" s="7" t="str">
        <x:f t="shared" si="4"/>
        <x:v>N</x:v>
      </x:c>
      <x:c r="B132" s="7" t="s">
        <x:v>514</x:v>
      </x:c>
      <x:c r="C132" s="7" t="s">
        <x:v>515</x:v>
      </x:c>
      <x:c r="D132" s="5" t="s">
        <x:v>516</x:v>
      </x:c>
      <x:c r="E132" s="7" t="s">
        <x:v>216</x:v>
      </x:c>
      <x:c r="F132" s="7" t="s">
        <x:v>492</x:v>
      </x:c>
      <x:c r="G132" s="7" t="s">
        <x:v>71</x:v>
      </x:c>
      <x:c r="H132" s="7" t="s">
        <x:v>20</x:v>
      </x:c>
      <x:c r="I132" s="5" t="s">
        <x:v>22</x:v>
      </x:c>
      <x:c r="J132" s="5" t="s">
        <x:v>22</x:v>
      </x:c>
      <x:c r="K132" s="5" t="s">
        <x:v>22</x:v>
      </x:c>
      <x:c r="L132" s="5" t="s">
        <x:v>22</x:v>
      </x:c>
      <x:c r="M132" s="7"/>
      <x:c r="N132" s="7" t="s">
        <x:v>24</x:v>
      </x:c>
      <x:c r="O132" s="7" t="s">
        <x:v>25</x:v>
      </x:c>
      <x:c r="P132" s="47"/>
      <x:c r="Q132" s="47"/>
      <x:c r="R132" s="47"/>
      <x:c r="S132" s="47"/>
      <x:c r="T132" s="47"/>
      <x:c r="U132" s="47"/>
      <x:c r="V132" s="47"/>
      <x:c r="W132" s="47"/>
      <x:c r="X132" s="47"/>
      <x:c r="Y132" s="47"/>
      <x:c r="Z132" s="47"/>
      <x:c r="AA132" s="47"/>
      <x:c r="AB132" s="47"/>
      <x:c r="AC132" s="47"/>
      <x:c r="AD132" s="47"/>
    </x:row>
    <x:row r="133" ht="38.099998474121094" customHeight="1">
      <x:c r="A133" s="7" t="str">
        <x:f t="shared" si="4"/>
        <x:v>N</x:v>
      </x:c>
      <x:c r="B133" s="7" t="s">
        <x:v>517</x:v>
      </x:c>
      <x:c r="C133" s="7" t="s">
        <x:v>518</x:v>
      </x:c>
      <x:c r="D133" s="5" t="s">
        <x:v>519</x:v>
      </x:c>
      <x:c r="E133" s="7" t="s">
        <x:v>216</x:v>
      </x:c>
      <x:c r="F133" s="7" t="s">
        <x:v>492</x:v>
      </x:c>
      <x:c r="G133" s="7" t="s">
        <x:v>19</x:v>
      </x:c>
      <x:c r="H133" s="7" t="s">
        <x:v>20</x:v>
      </x:c>
      <x:c r="I133" s="5" t="s">
        <x:v>22</x:v>
      </x:c>
      <x:c r="J133" s="5" t="s">
        <x:v>22</x:v>
      </x:c>
      <x:c r="K133" s="5" t="s">
        <x:v>22</x:v>
      </x:c>
      <x:c r="L133" s="5" t="s">
        <x:v>22</x:v>
      </x:c>
      <x:c r="M133" s="7"/>
      <x:c r="N133" s="7" t="s">
        <x:v>24</x:v>
      </x:c>
      <x:c r="O133" s="7" t="s">
        <x:v>25</x:v>
      </x:c>
      <x:c r="P133" s="47"/>
      <x:c r="Q133" s="47"/>
      <x:c r="R133" s="47"/>
      <x:c r="S133" s="47"/>
      <x:c r="T133" s="47"/>
      <x:c r="U133" s="47"/>
      <x:c r="V133" s="47"/>
      <x:c r="W133" s="47"/>
      <x:c r="X133" s="47"/>
      <x:c r="Y133" s="47"/>
      <x:c r="Z133" s="47"/>
      <x:c r="AA133" s="47"/>
      <x:c r="AB133" s="47"/>
      <x:c r="AC133" s="47"/>
      <x:c r="AD133" s="47"/>
    </x:row>
    <x:row r="134" ht="38.099998474121094" customHeight="1">
      <x:c r="A134" s="7" t="str">
        <x:f t="shared" si="4"/>
        <x:v>N</x:v>
      </x:c>
      <x:c r="B134" s="7" t="s">
        <x:v>520</x:v>
      </x:c>
      <x:c r="C134" s="7" t="s">
        <x:v>521</x:v>
      </x:c>
      <x:c r="D134" s="5" t="s">
        <x:v>522</x:v>
      </x:c>
      <x:c r="E134" s="7" t="s">
        <x:v>216</x:v>
      </x:c>
      <x:c r="F134" s="7" t="s">
        <x:v>492</x:v>
      </x:c>
      <x:c r="G134" s="7" t="s">
        <x:v>19</x:v>
      </x:c>
      <x:c r="H134" s="7" t="s">
        <x:v>20</x:v>
      </x:c>
      <x:c r="I134" s="5" t="s">
        <x:v>22</x:v>
      </x:c>
      <x:c r="J134" s="5" t="s">
        <x:v>22</x:v>
      </x:c>
      <x:c r="K134" s="5" t="s">
        <x:v>22</x:v>
      </x:c>
      <x:c r="L134" s="5" t="s">
        <x:v>22</x:v>
      </x:c>
      <x:c r="M134" s="7"/>
      <x:c r="N134" s="7" t="s">
        <x:v>24</x:v>
      </x:c>
      <x:c r="O134" s="7" t="s">
        <x:v>25</x:v>
      </x:c>
      <x:c r="P134" s="47"/>
      <x:c r="Q134" s="47"/>
      <x:c r="R134" s="47"/>
      <x:c r="S134" s="47"/>
      <x:c r="T134" s="47"/>
      <x:c r="U134" s="47"/>
      <x:c r="V134" s="47"/>
      <x:c r="W134" s="47"/>
      <x:c r="X134" s="47"/>
      <x:c r="Y134" s="47"/>
      <x:c r="Z134" s="47"/>
      <x:c r="AA134" s="47"/>
      <x:c r="AB134" s="47"/>
      <x:c r="AC134" s="47"/>
      <x:c r="AD134" s="47"/>
    </x:row>
    <x:row r="135" ht="38.099998474121094" customHeight="1">
      <x:c r="A135" s="7" t="str">
        <x:f t="shared" si="4"/>
        <x:v>N</x:v>
      </x:c>
      <x:c r="B135" s="7" t="s">
        <x:v>523</x:v>
      </x:c>
      <x:c r="C135" s="7" t="s">
        <x:v>524</x:v>
      </x:c>
      <x:c r="D135" s="5" t="s">
        <x:v>525</x:v>
      </x:c>
      <x:c r="E135" s="7" t="s">
        <x:v>216</x:v>
      </x:c>
      <x:c r="F135" s="7" t="s">
        <x:v>492</x:v>
      </x:c>
      <x:c r="G135" s="7" t="s">
        <x:v>19</x:v>
      </x:c>
      <x:c r="H135" s="7" t="s">
        <x:v>20</x:v>
      </x:c>
      <x:c r="I135" s="5" t="s">
        <x:v>22</x:v>
      </x:c>
      <x:c r="J135" s="5" t="s">
        <x:v>22</x:v>
      </x:c>
      <x:c r="K135" s="5" t="s">
        <x:v>22</x:v>
      </x:c>
      <x:c r="L135" s="5" t="s">
        <x:v>22</x:v>
      </x:c>
      <x:c r="M135" s="7"/>
      <x:c r="N135" s="7" t="s">
        <x:v>24</x:v>
      </x:c>
      <x:c r="O135" s="7" t="s">
        <x:v>25</x:v>
      </x:c>
      <x:c r="P135" s="47"/>
      <x:c r="Q135" s="47"/>
      <x:c r="R135" s="47"/>
      <x:c r="S135" s="47"/>
      <x:c r="T135" s="47"/>
      <x:c r="U135" s="47"/>
      <x:c r="V135" s="47"/>
      <x:c r="W135" s="47"/>
      <x:c r="X135" s="47"/>
      <x:c r="Y135" s="47"/>
      <x:c r="Z135" s="47"/>
      <x:c r="AA135" s="47"/>
      <x:c r="AB135" s="47"/>
      <x:c r="AC135" s="47"/>
      <x:c r="AD135" s="47"/>
    </x:row>
    <x:row r="136" ht="38.099998474121094" customHeight="1">
      <x:c r="A136" s="7" t="str">
        <x:f t="shared" si="4"/>
        <x:v>N</x:v>
      </x:c>
      <x:c r="B136" s="7" t="s">
        <x:v>526</x:v>
      </x:c>
      <x:c r="C136" s="7" t="s">
        <x:v>527</x:v>
      </x:c>
      <x:c r="D136" s="5" t="s">
        <x:v>528</x:v>
      </x:c>
      <x:c r="E136" s="7" t="s">
        <x:v>216</x:v>
      </x:c>
      <x:c r="F136" s="7" t="s">
        <x:v>492</x:v>
      </x:c>
      <x:c r="G136" s="7" t="s">
        <x:v>19</x:v>
      </x:c>
      <x:c r="H136" s="7" t="s">
        <x:v>91</x:v>
      </x:c>
      <x:c r="I136" s="5" t="s">
        <x:v>22</x:v>
      </x:c>
      <x:c r="J136" s="5" t="s">
        <x:v>22</x:v>
      </x:c>
      <x:c r="K136" s="5" t="s">
        <x:v>22</x:v>
      </x:c>
      <x:c r="L136" s="5" t="s">
        <x:v>22</x:v>
      </x:c>
      <x:c r="M136" s="7"/>
      <x:c r="N136" s="7" t="s">
        <x:v>24</x:v>
      </x:c>
      <x:c r="O136" s="7" t="s">
        <x:v>41</x:v>
      </x:c>
      <x:c r="P136" s="47"/>
      <x:c r="Q136" s="47"/>
      <x:c r="R136" s="47"/>
      <x:c r="S136" s="47"/>
      <x:c r="T136" s="47"/>
      <x:c r="U136" s="47"/>
      <x:c r="V136" s="47"/>
      <x:c r="W136" s="47"/>
      <x:c r="X136" s="47"/>
      <x:c r="Y136" s="47"/>
      <x:c r="Z136" s="47"/>
      <x:c r="AA136" s="47"/>
      <x:c r="AB136" s="47"/>
      <x:c r="AC136" s="47"/>
      <x:c r="AD136" s="47"/>
    </x:row>
    <x:row r="137" ht="38.099998474121094" customHeight="1">
      <x:c r="A137" s="7" t="str">
        <x:f t="shared" si="4"/>
        <x:v>N</x:v>
      </x:c>
      <x:c r="B137" s="7" t="s">
        <x:v>529</x:v>
      </x:c>
      <x:c r="C137" s="7" t="s">
        <x:v>530</x:v>
      </x:c>
      <x:c r="D137" s="5" t="s">
        <x:v>531</x:v>
      </x:c>
      <x:c r="E137" s="7" t="s">
        <x:v>216</x:v>
      </x:c>
      <x:c r="F137" s="7" t="s">
        <x:v>492</x:v>
      </x:c>
      <x:c r="G137" s="7" t="s">
        <x:v>19</x:v>
      </x:c>
      <x:c r="H137" s="7" t="s">
        <x:v>91</x:v>
      </x:c>
      <x:c r="I137" s="5" t="s">
        <x:v>22</x:v>
      </x:c>
      <x:c r="J137" s="5" t="s">
        <x:v>22</x:v>
      </x:c>
      <x:c r="K137" s="5" t="s">
        <x:v>22</x:v>
      </x:c>
      <x:c r="L137" s="5" t="s">
        <x:v>22</x:v>
      </x:c>
      <x:c r="M137" s="7"/>
      <x:c r="N137" s="7" t="s">
        <x:v>24</x:v>
      </x:c>
      <x:c r="O137" s="7" t="s">
        <x:v>41</x:v>
      </x:c>
      <x:c r="P137" s="47"/>
      <x:c r="Q137" s="47"/>
      <x:c r="R137" s="47"/>
      <x:c r="S137" s="47"/>
      <x:c r="T137" s="47"/>
      <x:c r="U137" s="47"/>
      <x:c r="V137" s="47"/>
      <x:c r="W137" s="47"/>
      <x:c r="X137" s="47"/>
      <x:c r="Y137" s="47"/>
      <x:c r="Z137" s="47"/>
      <x:c r="AA137" s="47"/>
      <x:c r="AB137" s="47"/>
      <x:c r="AC137" s="47"/>
      <x:c r="AD137" s="47"/>
    </x:row>
    <x:row r="138" ht="38.099998474121094" customHeight="1">
      <x:c r="A138" s="7" t="str">
        <x:f t="shared" si="4"/>
        <x:v>N</x:v>
      </x:c>
      <x:c r="B138" s="7" t="s">
        <x:v>532</x:v>
      </x:c>
      <x:c r="C138" s="7" t="s">
        <x:v>533</x:v>
      </x:c>
      <x:c r="D138" s="5" t="s">
        <x:v>534</x:v>
      </x:c>
      <x:c r="E138" s="7" t="s">
        <x:v>216</x:v>
      </x:c>
      <x:c r="F138" s="7" t="s">
        <x:v>492</x:v>
      </x:c>
      <x:c r="G138" s="7" t="s">
        <x:v>19</x:v>
      </x:c>
      <x:c r="H138" s="7" t="s">
        <x:v>72</x:v>
      </x:c>
      <x:c r="I138" s="5" t="s">
        <x:v>22</x:v>
      </x:c>
      <x:c r="J138" s="5" t="s">
        <x:v>22</x:v>
      </x:c>
      <x:c r="K138" s="5" t="s">
        <x:v>22</x:v>
      </x:c>
      <x:c r="L138" s="5" t="s">
        <x:v>22</x:v>
      </x:c>
      <x:c r="M138" s="7"/>
      <x:c r="N138" s="7" t="s">
        <x:v>24</x:v>
      </x:c>
      <x:c r="O138" s="7" t="s">
        <x:v>41</x:v>
      </x:c>
      <x:c r="P138" s="47"/>
      <x:c r="Q138" s="47"/>
      <x:c r="R138" s="47"/>
      <x:c r="S138" s="47"/>
      <x:c r="T138" s="47"/>
      <x:c r="U138" s="47"/>
      <x:c r="V138" s="47"/>
      <x:c r="W138" s="47"/>
      <x:c r="X138" s="47"/>
      <x:c r="Y138" s="47"/>
      <x:c r="Z138" s="47"/>
      <x:c r="AA138" s="47"/>
      <x:c r="AB138" s="47"/>
      <x:c r="AC138" s="47"/>
      <x:c r="AD138" s="47"/>
    </x:row>
    <x:row r="139" ht="38.099998474121094" customHeight="1">
      <x:c r="A139" s="7" t="str">
        <x:f t="shared" si="4"/>
        <x:v>N</x:v>
      </x:c>
      <x:c r="B139" s="7" t="s">
        <x:v>535</x:v>
      </x:c>
      <x:c r="C139" s="7" t="s">
        <x:v>536</x:v>
      </x:c>
      <x:c r="D139" s="5" t="s">
        <x:v>537</x:v>
      </x:c>
      <x:c r="E139" s="7" t="s">
        <x:v>216</x:v>
      </x:c>
      <x:c r="F139" s="7" t="s">
        <x:v>492</x:v>
      </x:c>
      <x:c r="G139" s="7" t="s">
        <x:v>19</x:v>
      </x:c>
      <x:c r="H139" s="7" t="s">
        <x:v>72</x:v>
      </x:c>
      <x:c r="I139" s="5" t="s">
        <x:v>22</x:v>
      </x:c>
      <x:c r="J139" s="5" t="s">
        <x:v>22</x:v>
      </x:c>
      <x:c r="K139" s="5" t="s">
        <x:v>22</x:v>
      </x:c>
      <x:c r="L139" s="5" t="s">
        <x:v>22</x:v>
      </x:c>
      <x:c r="M139" s="7"/>
      <x:c r="N139" s="7" t="s">
        <x:v>24</x:v>
      </x:c>
      <x:c r="O139" s="7" t="s">
        <x:v>41</x:v>
      </x:c>
      <x:c r="P139" s="47"/>
      <x:c r="Q139" s="47"/>
      <x:c r="R139" s="47"/>
      <x:c r="S139" s="47"/>
      <x:c r="T139" s="47"/>
      <x:c r="U139" s="47"/>
      <x:c r="V139" s="47"/>
      <x:c r="W139" s="47"/>
      <x:c r="X139" s="47"/>
      <x:c r="Y139" s="47"/>
      <x:c r="Z139" s="47"/>
      <x:c r="AA139" s="47"/>
      <x:c r="AB139" s="47"/>
      <x:c r="AC139" s="47"/>
      <x:c r="AD139" s="47"/>
    </x:row>
    <x:row r="140" ht="38.099998474121094" customHeight="1">
      <x:c r="A140" s="7" t="str">
        <x:f t="shared" si="4"/>
        <x:v>N</x:v>
      </x:c>
      <x:c r="B140" s="7" t="s">
        <x:v>538</x:v>
      </x:c>
      <x:c r="C140" s="7" t="s">
        <x:v>539</x:v>
      </x:c>
      <x:c r="D140" s="5" t="s">
        <x:v>540</x:v>
      </x:c>
      <x:c r="E140" s="7" t="s">
        <x:v>216</x:v>
      </x:c>
      <x:c r="F140" s="7" t="s">
        <x:v>492</x:v>
      </x:c>
      <x:c r="G140" s="7" t="s">
        <x:v>19</x:v>
      </x:c>
      <x:c r="H140" s="7" t="s">
        <x:v>91</x:v>
      </x:c>
      <x:c r="I140" s="5" t="s">
        <x:v>22</x:v>
      </x:c>
      <x:c r="J140" s="5" t="s">
        <x:v>22</x:v>
      </x:c>
      <x:c r="K140" s="5" t="s">
        <x:v>22</x:v>
      </x:c>
      <x:c r="L140" s="5" t="s">
        <x:v>22</x:v>
      </x:c>
      <x:c r="M140" s="7"/>
      <x:c r="N140" s="7" t="s">
        <x:v>24</x:v>
      </x:c>
      <x:c r="O140" s="7" t="s">
        <x:v>25</x:v>
      </x:c>
      <x:c r="P140" s="47"/>
      <x:c r="Q140" s="47"/>
      <x:c r="R140" s="47"/>
      <x:c r="S140" s="47"/>
      <x:c r="T140" s="47"/>
      <x:c r="U140" s="47"/>
      <x:c r="V140" s="47"/>
      <x:c r="W140" s="47"/>
      <x:c r="X140" s="47"/>
      <x:c r="Y140" s="47"/>
      <x:c r="Z140" s="47"/>
      <x:c r="AA140" s="47"/>
      <x:c r="AB140" s="47"/>
      <x:c r="AC140" s="47"/>
      <x:c r="AD140" s="47"/>
    </x:row>
    <x:row r="141" ht="38.099998474121094" customHeight="1">
      <x:c r="A141" s="7" t="str">
        <x:f t="shared" si="4"/>
        <x:v>N</x:v>
      </x:c>
      <x:c r="B141" s="7" t="s">
        <x:v>541</x:v>
      </x:c>
      <x:c r="C141" s="7" t="s">
        <x:v>542</x:v>
      </x:c>
      <x:c r="D141" s="5" t="s">
        <x:v>543</x:v>
      </x:c>
      <x:c r="E141" s="7" t="s">
        <x:v>216</x:v>
      </x:c>
      <x:c r="F141" s="7" t="s">
        <x:v>544</x:v>
      </x:c>
      <x:c r="G141" s="7" t="s">
        <x:v>140</x:v>
      </x:c>
      <x:c r="H141" s="7" t="s">
        <x:v>91</x:v>
      </x:c>
      <x:c r="I141" s="5" t="s">
        <x:v>22</x:v>
      </x:c>
      <x:c r="J141" s="5" t="s">
        <x:v>22</x:v>
      </x:c>
      <x:c r="K141" s="5" t="s">
        <x:v>22</x:v>
      </x:c>
      <x:c r="L141" s="5" t="s">
        <x:v>22</x:v>
      </x:c>
      <x:c r="M141" s="7"/>
      <x:c r="N141" s="7" t="s">
        <x:v>24</x:v>
      </x:c>
      <x:c r="O141" s="7" t="s">
        <x:v>41</x:v>
      </x:c>
      <x:c r="P141" s="47"/>
      <x:c r="Q141" s="47"/>
      <x:c r="R141" s="47"/>
      <x:c r="S141" s="47"/>
      <x:c r="T141" s="47"/>
      <x:c r="U141" s="47"/>
      <x:c r="V141" s="47"/>
      <x:c r="W141" s="47"/>
      <x:c r="X141" s="47"/>
      <x:c r="Y141" s="47"/>
      <x:c r="Z141" s="47"/>
      <x:c r="AA141" s="47"/>
      <x:c r="AB141" s="47"/>
      <x:c r="AC141" s="47"/>
      <x:c r="AD141" s="47"/>
    </x:row>
    <x:row r="142" ht="38.099998474121094" customHeight="1">
      <x:c r="A142" s="7" t="str">
        <x:f t="shared" si="4"/>
        <x:v>N</x:v>
      </x:c>
      <x:c r="B142" s="7" t="s">
        <x:v>545</x:v>
      </x:c>
      <x:c r="C142" s="7" t="s">
        <x:v>546</x:v>
      </x:c>
      <x:c r="D142" s="5" t="s">
        <x:v>547</x:v>
      </x:c>
      <x:c r="E142" s="7" t="s">
        <x:v>216</x:v>
      </x:c>
      <x:c r="F142" s="7" t="s">
        <x:v>544</x:v>
      </x:c>
      <x:c r="G142" s="7" t="s">
        <x:v>140</x:v>
      </x:c>
      <x:c r="H142" s="7" t="s">
        <x:v>91</x:v>
      </x:c>
      <x:c r="I142" s="5" t="s">
        <x:v>22</x:v>
      </x:c>
      <x:c r="J142" s="5" t="s">
        <x:v>22</x:v>
      </x:c>
      <x:c r="K142" s="5" t="s">
        <x:v>22</x:v>
      </x:c>
      <x:c r="L142" s="5" t="s">
        <x:v>22</x:v>
      </x:c>
      <x:c r="M142" s="7"/>
      <x:c r="N142" s="7" t="s">
        <x:v>24</x:v>
      </x:c>
      <x:c r="O142" s="7" t="s">
        <x:v>41</x:v>
      </x:c>
      <x:c r="P142" s="47"/>
      <x:c r="Q142" s="47"/>
      <x:c r="R142" s="47"/>
      <x:c r="S142" s="47"/>
      <x:c r="T142" s="47"/>
      <x:c r="U142" s="47"/>
      <x:c r="V142" s="47"/>
      <x:c r="W142" s="47"/>
      <x:c r="X142" s="47"/>
      <x:c r="Y142" s="47"/>
      <x:c r="Z142" s="47"/>
      <x:c r="AA142" s="47"/>
      <x:c r="AB142" s="47"/>
      <x:c r="AC142" s="47"/>
      <x:c r="AD142" s="47"/>
    </x:row>
    <x:row r="143" ht="38.099998474121094" customHeight="1">
      <x:c r="A143" s="7" t="str">
        <x:f t="shared" si="4"/>
        <x:v>N</x:v>
      </x:c>
      <x:c r="B143" s="7" t="s">
        <x:v>548</x:v>
      </x:c>
      <x:c r="C143" s="7" t="s">
        <x:v>549</x:v>
      </x:c>
      <x:c r="D143" s="5" t="s">
        <x:v>550</x:v>
      </x:c>
      <x:c r="E143" s="7" t="s">
        <x:v>216</x:v>
      </x:c>
      <x:c r="F143" s="7" t="s">
        <x:v>544</x:v>
      </x:c>
      <x:c r="G143" s="7" t="s">
        <x:v>140</x:v>
      </x:c>
      <x:c r="H143" s="7" t="s">
        <x:v>91</x:v>
      </x:c>
      <x:c r="I143" s="5" t="s">
        <x:v>22</x:v>
      </x:c>
      <x:c r="J143" s="5" t="s">
        <x:v>22</x:v>
      </x:c>
      <x:c r="K143" s="5" t="s">
        <x:v>22</x:v>
      </x:c>
      <x:c r="L143" s="5" t="s">
        <x:v>22</x:v>
      </x:c>
      <x:c r="M143" s="7"/>
      <x:c r="N143" s="7" t="s">
        <x:v>24</x:v>
      </x:c>
      <x:c r="O143" s="7" t="s">
        <x:v>41</x:v>
      </x:c>
      <x:c r="P143" s="47"/>
      <x:c r="Q143" s="47"/>
      <x:c r="R143" s="47"/>
      <x:c r="S143" s="47"/>
      <x:c r="T143" s="47"/>
      <x:c r="U143" s="47"/>
      <x:c r="V143" s="47"/>
      <x:c r="W143" s="47"/>
      <x:c r="X143" s="47"/>
      <x:c r="Y143" s="47"/>
      <x:c r="Z143" s="47"/>
      <x:c r="AA143" s="47"/>
      <x:c r="AB143" s="47"/>
      <x:c r="AC143" s="47"/>
      <x:c r="AD143" s="47"/>
    </x:row>
    <x:row r="144" ht="38.099998474121094" customHeight="1">
      <x:c r="A144" s="7" t="str">
        <x:f t="shared" si="4"/>
        <x:v>N</x:v>
      </x:c>
      <x:c r="B144" s="7" t="s">
        <x:v>551</x:v>
      </x:c>
      <x:c r="C144" s="7" t="s">
        <x:v>552</x:v>
      </x:c>
      <x:c r="D144" s="5" t="s">
        <x:v>553</x:v>
      </x:c>
      <x:c r="E144" s="7" t="s">
        <x:v>216</x:v>
      </x:c>
      <x:c r="F144" s="7" t="s">
        <x:v>544</x:v>
      </x:c>
      <x:c r="G144" s="7" t="s">
        <x:v>140</x:v>
      </x:c>
      <x:c r="H144" s="7" t="s">
        <x:v>91</x:v>
      </x:c>
      <x:c r="I144" s="5" t="s">
        <x:v>22</x:v>
      </x:c>
      <x:c r="J144" s="5" t="s">
        <x:v>22</x:v>
      </x:c>
      <x:c r="K144" s="5" t="s">
        <x:v>22</x:v>
      </x:c>
      <x:c r="L144" s="5" t="s">
        <x:v>22</x:v>
      </x:c>
      <x:c r="M144" s="7"/>
      <x:c r="N144" s="7" t="s">
        <x:v>24</x:v>
      </x:c>
      <x:c r="O144" s="7" t="s">
        <x:v>41</x:v>
      </x:c>
      <x:c r="P144" s="47"/>
      <x:c r="Q144" s="47"/>
      <x:c r="R144" s="47"/>
      <x:c r="S144" s="47"/>
      <x:c r="T144" s="47"/>
      <x:c r="U144" s="47"/>
      <x:c r="V144" s="47"/>
      <x:c r="W144" s="47"/>
      <x:c r="X144" s="47"/>
      <x:c r="Y144" s="47"/>
      <x:c r="Z144" s="47"/>
      <x:c r="AA144" s="47"/>
      <x:c r="AB144" s="47"/>
      <x:c r="AC144" s="47"/>
      <x:c r="AD144" s="47"/>
    </x:row>
    <x:row r="145" ht="38.099998474121094" customHeight="1">
      <x:c r="A145" s="7" t="str">
        <x:f t="shared" si="4"/>
        <x:v>N</x:v>
      </x:c>
      <x:c r="B145" s="7" t="s">
        <x:v>554</x:v>
      </x:c>
      <x:c r="C145" s="7" t="s">
        <x:v>555</x:v>
      </x:c>
      <x:c r="D145" s="5" t="s">
        <x:v>556</x:v>
      </x:c>
      <x:c r="E145" s="7" t="s">
        <x:v>216</x:v>
      </x:c>
      <x:c r="F145" s="7" t="s">
        <x:v>544</x:v>
      </x:c>
      <x:c r="G145" s="7" t="s">
        <x:v>140</x:v>
      </x:c>
      <x:c r="H145" s="7" t="s">
        <x:v>72</x:v>
      </x:c>
      <x:c r="I145" s="5" t="s">
        <x:v>22</x:v>
      </x:c>
      <x:c r="J145" s="5" t="s">
        <x:v>22</x:v>
      </x:c>
      <x:c r="K145" s="5" t="s">
        <x:v>22</x:v>
      </x:c>
      <x:c r="L145" s="5" t="s">
        <x:v>22</x:v>
      </x:c>
      <x:c r="M145" s="7"/>
      <x:c r="N145" s="7" t="s">
        <x:v>24</x:v>
      </x:c>
      <x:c r="O145" s="7" t="s">
        <x:v>41</x:v>
      </x:c>
      <x:c r="P145" s="47"/>
      <x:c r="Q145" s="47"/>
      <x:c r="R145" s="47"/>
      <x:c r="S145" s="47"/>
      <x:c r="T145" s="47"/>
      <x:c r="U145" s="47"/>
      <x:c r="V145" s="47"/>
      <x:c r="W145" s="47"/>
      <x:c r="X145" s="47"/>
      <x:c r="Y145" s="47"/>
      <x:c r="Z145" s="47"/>
      <x:c r="AA145" s="47"/>
      <x:c r="AB145" s="47"/>
      <x:c r="AC145" s="47"/>
      <x:c r="AD145" s="47"/>
    </x:row>
    <x:row r="146" ht="38.099998474121094" customHeight="1">
      <x:c r="A146" s="7" t="str">
        <x:f t="shared" si="4"/>
        <x:v>N</x:v>
      </x:c>
      <x:c r="B146" s="7" t="s">
        <x:v>557</x:v>
      </x:c>
      <x:c r="C146" s="7" t="s">
        <x:v>558</x:v>
      </x:c>
      <x:c r="D146" s="5" t="s">
        <x:v>559</x:v>
      </x:c>
      <x:c r="E146" s="7" t="s">
        <x:v>216</x:v>
      </x:c>
      <x:c r="F146" s="7" t="s">
        <x:v>544</x:v>
      </x:c>
      <x:c r="G146" s="7" t="s">
        <x:v>140</x:v>
      </x:c>
      <x:c r="H146" s="7" t="s">
        <x:v>72</x:v>
      </x:c>
      <x:c r="I146" s="5" t="s">
        <x:v>22</x:v>
      </x:c>
      <x:c r="J146" s="5" t="s">
        <x:v>22</x:v>
      </x:c>
      <x:c r="K146" s="5" t="s">
        <x:v>22</x:v>
      </x:c>
      <x:c r="L146" s="5" t="s">
        <x:v>22</x:v>
      </x:c>
      <x:c r="M146" s="7"/>
      <x:c r="N146" s="7" t="s">
        <x:v>24</x:v>
      </x:c>
      <x:c r="O146" s="7" t="s">
        <x:v>41</x:v>
      </x:c>
      <x:c r="P146" s="47"/>
      <x:c r="Q146" s="47"/>
      <x:c r="R146" s="47"/>
      <x:c r="S146" s="47"/>
      <x:c r="T146" s="47"/>
      <x:c r="U146" s="47"/>
      <x:c r="V146" s="47"/>
      <x:c r="W146" s="47"/>
      <x:c r="X146" s="47"/>
      <x:c r="Y146" s="47"/>
      <x:c r="Z146" s="47"/>
      <x:c r="AA146" s="47"/>
      <x:c r="AB146" s="47"/>
      <x:c r="AC146" s="47"/>
      <x:c r="AD146" s="47"/>
    </x:row>
    <x:row r="147" ht="38.099998474121094" customHeight="1">
      <x:c r="A147" s="7" t="str">
        <x:f t="shared" si="4"/>
        <x:v>N</x:v>
      </x:c>
      <x:c r="B147" s="7" t="s">
        <x:v>560</x:v>
      </x:c>
      <x:c r="C147" s="7" t="s">
        <x:v>561</x:v>
      </x:c>
      <x:c r="D147" s="5" t="s">
        <x:v>562</x:v>
      </x:c>
      <x:c r="E147" s="7" t="s">
        <x:v>216</x:v>
      </x:c>
      <x:c r="F147" s="7" t="s">
        <x:v>544</x:v>
      </x:c>
      <x:c r="G147" s="7" t="s">
        <x:v>140</x:v>
      </x:c>
      <x:c r="H147" s="7" t="s">
        <x:v>72</x:v>
      </x:c>
      <x:c r="I147" s="5" t="s">
        <x:v>22</x:v>
      </x:c>
      <x:c r="J147" s="5" t="s">
        <x:v>22</x:v>
      </x:c>
      <x:c r="K147" s="5" t="s">
        <x:v>22</x:v>
      </x:c>
      <x:c r="L147" s="5" t="s">
        <x:v>22</x:v>
      </x:c>
      <x:c r="M147" s="7"/>
      <x:c r="N147" s="7" t="s">
        <x:v>24</x:v>
      </x:c>
      <x:c r="O147" s="7" t="s">
        <x:v>41</x:v>
      </x:c>
      <x:c r="P147" s="47"/>
      <x:c r="Q147" s="47"/>
      <x:c r="R147" s="47"/>
      <x:c r="S147" s="47"/>
      <x:c r="T147" s="47"/>
      <x:c r="U147" s="47"/>
      <x:c r="V147" s="47"/>
      <x:c r="W147" s="47"/>
      <x:c r="X147" s="47"/>
      <x:c r="Y147" s="47"/>
      <x:c r="Z147" s="47"/>
      <x:c r="AA147" s="47"/>
      <x:c r="AB147" s="47"/>
      <x:c r="AC147" s="47"/>
      <x:c r="AD147" s="47"/>
    </x:row>
    <x:row r="148" ht="38.099998474121094" customHeight="1">
      <x:c r="A148" s="7" t="str">
        <x:f t="shared" si="4"/>
        <x:v>N</x:v>
      </x:c>
      <x:c r="B148" s="7" t="s">
        <x:v>563</x:v>
      </x:c>
      <x:c r="C148" s="7" t="s">
        <x:v>564</x:v>
      </x:c>
      <x:c r="D148" s="5" t="s">
        <x:v>565</x:v>
      </x:c>
      <x:c r="E148" s="7" t="s">
        <x:v>216</x:v>
      </x:c>
      <x:c r="F148" s="7" t="s">
        <x:v>544</x:v>
      </x:c>
      <x:c r="G148" s="7" t="s">
        <x:v>140</x:v>
      </x:c>
      <x:c r="H148" s="7" t="s">
        <x:v>91</x:v>
      </x:c>
      <x:c r="I148" s="5" t="s">
        <x:v>22</x:v>
      </x:c>
      <x:c r="J148" s="5" t="s">
        <x:v>22</x:v>
      </x:c>
      <x:c r="K148" s="5" t="s">
        <x:v>22</x:v>
      </x:c>
      <x:c r="L148" s="5" t="s">
        <x:v>22</x:v>
      </x:c>
      <x:c r="M148" s="7"/>
      <x:c r="N148" s="7" t="s">
        <x:v>24</x:v>
      </x:c>
      <x:c r="O148" s="7" t="s">
        <x:v>41</x:v>
      </x:c>
      <x:c r="P148" s="47"/>
      <x:c r="Q148" s="47"/>
      <x:c r="R148" s="47"/>
      <x:c r="S148" s="47"/>
      <x:c r="T148" s="47"/>
      <x:c r="U148" s="47"/>
      <x:c r="V148" s="47"/>
      <x:c r="W148" s="47"/>
      <x:c r="X148" s="47"/>
      <x:c r="Y148" s="47"/>
      <x:c r="Z148" s="47"/>
      <x:c r="AA148" s="47"/>
      <x:c r="AB148" s="47"/>
      <x:c r="AC148" s="47"/>
      <x:c r="AD148" s="47"/>
    </x:row>
    <x:row r="149" ht="38.099998474121094" customHeight="1">
      <x:c r="A149" s="7" t="str">
        <x:f t="shared" si="4"/>
        <x:v>N</x:v>
      </x:c>
      <x:c r="B149" s="7" t="s">
        <x:v>566</x:v>
      </x:c>
      <x:c r="C149" s="7" t="s">
        <x:v>567</x:v>
      </x:c>
      <x:c r="D149" s="5" t="s">
        <x:v>568</x:v>
      </x:c>
      <x:c r="E149" s="7" t="s">
        <x:v>216</x:v>
      </x:c>
      <x:c r="F149" s="7" t="s">
        <x:v>544</x:v>
      </x:c>
      <x:c r="G149" s="7" t="s">
        <x:v>140</x:v>
      </x:c>
      <x:c r="H149" s="7" t="s">
        <x:v>91</x:v>
      </x:c>
      <x:c r="I149" s="5" t="s">
        <x:v>22</x:v>
      </x:c>
      <x:c r="J149" s="5" t="s">
        <x:v>22</x:v>
      </x:c>
      <x:c r="K149" s="5" t="s">
        <x:v>22</x:v>
      </x:c>
      <x:c r="L149" s="5" t="s">
        <x:v>22</x:v>
      </x:c>
      <x:c r="M149" s="7"/>
      <x:c r="N149" s="7" t="s">
        <x:v>24</x:v>
      </x:c>
      <x:c r="O149" s="7" t="s">
        <x:v>41</x:v>
      </x:c>
      <x:c r="P149" s="47"/>
      <x:c r="Q149" s="47"/>
      <x:c r="R149" s="47"/>
      <x:c r="S149" s="47"/>
      <x:c r="T149" s="47"/>
      <x:c r="U149" s="47"/>
      <x:c r="V149" s="47"/>
      <x:c r="W149" s="47"/>
      <x:c r="X149" s="47"/>
      <x:c r="Y149" s="47"/>
      <x:c r="Z149" s="47"/>
      <x:c r="AA149" s="47"/>
      <x:c r="AB149" s="47"/>
      <x:c r="AC149" s="47"/>
      <x:c r="AD149" s="47"/>
    </x:row>
    <x:row r="150" ht="38.099998474121094" customHeight="1">
      <x:c r="A150" s="7" t="str">
        <x:f t="shared" si="4"/>
        <x:v>N</x:v>
      </x:c>
      <x:c r="B150" s="7" t="s">
        <x:v>569</x:v>
      </x:c>
      <x:c r="C150" s="7" t="s">
        <x:v>570</x:v>
      </x:c>
      <x:c r="D150" s="5" t="s">
        <x:v>571</x:v>
      </x:c>
      <x:c r="E150" s="7" t="s">
        <x:v>216</x:v>
      </x:c>
      <x:c r="F150" s="7" t="s">
        <x:v>544</x:v>
      </x:c>
      <x:c r="G150" s="7" t="s">
        <x:v>140</x:v>
      </x:c>
      <x:c r="H150" s="7" t="s">
        <x:v>72</x:v>
      </x:c>
      <x:c r="I150" s="5" t="s">
        <x:v>22</x:v>
      </x:c>
      <x:c r="J150" s="5" t="s">
        <x:v>22</x:v>
      </x:c>
      <x:c r="K150" s="5" t="s">
        <x:v>22</x:v>
      </x:c>
      <x:c r="L150" s="5" t="s">
        <x:v>22</x:v>
      </x:c>
      <x:c r="M150" s="7"/>
      <x:c r="N150" s="7" t="s">
        <x:v>24</x:v>
      </x:c>
      <x:c r="O150" s="7" t="s">
        <x:v>41</x:v>
      </x:c>
      <x:c r="P150" s="47"/>
      <x:c r="Q150" s="47"/>
      <x:c r="R150" s="47"/>
      <x:c r="S150" s="47"/>
      <x:c r="T150" s="47"/>
      <x:c r="U150" s="47"/>
      <x:c r="V150" s="47"/>
      <x:c r="W150" s="47"/>
      <x:c r="X150" s="47"/>
      <x:c r="Y150" s="47"/>
      <x:c r="Z150" s="47"/>
      <x:c r="AA150" s="47"/>
      <x:c r="AB150" s="47"/>
      <x:c r="AC150" s="47"/>
      <x:c r="AD150" s="47"/>
    </x:row>
    <x:row r="151" ht="38.099998474121094" customHeight="1">
      <x:c r="A151" s="7" t="str">
        <x:f t="shared" si="4"/>
        <x:v>N</x:v>
      </x:c>
      <x:c r="B151" s="7" t="s">
        <x:v>572</x:v>
      </x:c>
      <x:c r="C151" s="7" t="s">
        <x:v>573</x:v>
      </x:c>
      <x:c r="D151" s="5" t="s">
        <x:v>574</x:v>
      </x:c>
      <x:c r="E151" s="7" t="s">
        <x:v>216</x:v>
      </x:c>
      <x:c r="F151" s="7" t="s">
        <x:v>544</x:v>
      </x:c>
      <x:c r="G151" s="7" t="s">
        <x:v>140</x:v>
      </x:c>
      <x:c r="H151" s="7" t="s">
        <x:v>91</x:v>
      </x:c>
      <x:c r="I151" s="5" t="s">
        <x:v>22</x:v>
      </x:c>
      <x:c r="J151" s="5" t="s">
        <x:v>22</x:v>
      </x:c>
      <x:c r="K151" s="5" t="s">
        <x:v>22</x:v>
      </x:c>
      <x:c r="L151" s="5" t="s">
        <x:v>22</x:v>
      </x:c>
      <x:c r="M151" s="7"/>
      <x:c r="N151" s="7" t="s">
        <x:v>24</x:v>
      </x:c>
      <x:c r="O151" s="7" t="s">
        <x:v>41</x:v>
      </x:c>
      <x:c r="P151" s="47"/>
      <x:c r="Q151" s="47"/>
      <x:c r="R151" s="47"/>
      <x:c r="S151" s="47"/>
      <x:c r="T151" s="47"/>
      <x:c r="U151" s="47"/>
      <x:c r="V151" s="47"/>
      <x:c r="W151" s="47"/>
      <x:c r="X151" s="47"/>
      <x:c r="Y151" s="47"/>
      <x:c r="Z151" s="47"/>
      <x:c r="AA151" s="47"/>
      <x:c r="AB151" s="47"/>
      <x:c r="AC151" s="47"/>
      <x:c r="AD151" s="47"/>
    </x:row>
    <x:row r="152" ht="38.099998474121094" customHeight="1">
      <x:c r="A152" s="7" t="str">
        <x:f t="shared" si="4"/>
        <x:v>N</x:v>
      </x:c>
      <x:c r="B152" s="7" t="s">
        <x:v>575</x:v>
      </x:c>
      <x:c r="C152" s="7" t="s">
        <x:v>576</x:v>
      </x:c>
      <x:c r="D152" s="5" t="s">
        <x:v>577</x:v>
      </x:c>
      <x:c r="E152" s="7" t="s">
        <x:v>216</x:v>
      </x:c>
      <x:c r="F152" s="7" t="s">
        <x:v>544</x:v>
      </x:c>
      <x:c r="G152" s="7" t="s">
        <x:v>140</x:v>
      </x:c>
      <x:c r="H152" s="7" t="s">
        <x:v>91</x:v>
      </x:c>
      <x:c r="I152" s="5" t="s">
        <x:v>22</x:v>
      </x:c>
      <x:c r="J152" s="5" t="s">
        <x:v>22</x:v>
      </x:c>
      <x:c r="K152" s="5" t="s">
        <x:v>22</x:v>
      </x:c>
      <x:c r="L152" s="5" t="s">
        <x:v>22</x:v>
      </x:c>
      <x:c r="M152" s="7"/>
      <x:c r="N152" s="7" t="s">
        <x:v>24</x:v>
      </x:c>
      <x:c r="O152" s="7" t="s">
        <x:v>41</x:v>
      </x:c>
      <x:c r="P152" s="49"/>
      <x:c r="Q152" s="49"/>
      <x:c r="R152" s="49"/>
      <x:c r="S152" s="49"/>
      <x:c r="T152" s="49"/>
      <x:c r="U152" s="49"/>
      <x:c r="V152" s="49"/>
      <x:c r="W152" s="49"/>
      <x:c r="X152" s="49"/>
      <x:c r="Y152" s="49"/>
      <x:c r="Z152" s="49"/>
      <x:c r="AA152" s="49"/>
      <x:c r="AB152" s="49"/>
      <x:c r="AC152" s="49"/>
      <x:c r="AD152" s="49"/>
    </x:row>
  </x:sheetData>
  <x:conditionalFormatting sqref="A2:A152">
    <x:cfRule type="containsText" dxfId="3" priority="1" operator="containsText" text="Y"/>
    <x:cfRule type="containsText" dxfId="2" priority="2" operator="containsText" text="N"/>
  </x:conditionalFormatting>
  <x:conditionalFormatting sqref="N2:N152">
    <x:cfRule type="containsText" dxfId="1" priority="4" operator="containsText" text="Y"/>
  </x:conditionalFormatting>
  <x:conditionalFormatting sqref="O2:O152">
    <x:cfRule type="containsText" dxfId="0" priority="3" operator="containsText" text="pending_review"/>
  </x:conditionalFormatting>
  <x:dataValidations count="3">
    <x:dataValidation type="list" sqref="P2:P152">
      <x:formula1>"Y,N"</x:formula1>
    </x:dataValidation>
    <x:dataValidation type="list" sqref="R2:R152">
      <x:formula1>"clear,needs_clarification,out_of_scope,no_intent"</x:formula1>
    </x:dataValidation>
    <x:dataValidation type="list" sqref="S2:S152">
      <x:formula1>"answer,ask_clarification,answer_with_limitation,redirect_out_of_scope,request_intent,show_faq_list"</x:formula1>
    </x:dataValidation>
  </x:dataValidations>
  <x:pageMargins left="0.7" right="0.7" top="0.75" bottom="0.75" header="0.3" footer="0.3"/>
  <x:tableParts count="1">
    <x:tablePart xmlns:r="http://schemas.openxmlformats.org/officeDocument/2006/relationships" r:id="R7b29edaf101d4cd7"/>
  </x:tableParts>
</x:worksheet>
</file>

<file path=xl/worksheets/sheet2.xml><?xml version="1.0" encoding="utf-8"?>
<x:worksheet xmlns:x="http://schemas.openxmlformats.org/spreadsheetml/2006/main">
  <x:sheetViews>
    <x:sheetView showGridLines="0" workbookViewId="0"/>
  </x:sheetViews>
  <x:sheetFormatPr defaultRowHeight="14.25"/>
  <x:cols>
    <x:col min="1" max="1" width="27" customWidth="1"/>
    <x:col min="2" max="2" width="22" customWidth="1"/>
    <x:col min="3" max="3" width="32" customWidth="1"/>
    <x:col min="4" max="4" width="42" customWidth="1"/>
    <x:col min="5" max="5" width="34" customWidth="1"/>
    <x:col min="6" max="6" width="3" customWidth="1"/>
  </x:cols>
  <x:sheetData>
    <x:row r="1" ht="42" customHeight="1">
      <x:c r="A1" s="22" t="s">
        <x:v>578</x:v>
      </x:c>
      <x:c r="B1" s="22"/>
      <x:c r="C1" s="22"/>
      <x:c r="D1" s="22"/>
      <x:c r="E1" s="22"/>
      <x:c r="F1" s="22"/>
    </x:row>
    <x:row r="2" ht="30" customHeight="1">
      <x:c r="A2" s="23" t="s">
        <x:v>579</x:v>
      </x:c>
      <x:c r="B2" s="23"/>
      <x:c r="C2" s="23"/>
      <x:c r="D2" s="23"/>
      <x:c r="E2" s="23"/>
      <x:c r="F2" s="23"/>
    </x:row>
    <x:row r="4" ht="26.100000381469727" customHeight="1">
      <x:c r="A4" s="8" t="s">
        <x:v>580</x:v>
      </x:c>
      <x:c r="B4" s="9" t="s">
        <x:v>581</x:v>
      </x:c>
      <x:c r="C4" s="9" t="s">
        <x:v>582</x:v>
      </x:c>
      <x:c r="D4" s="9" t="s">
        <x:v>583</x:v>
      </x:c>
      <x:c r="E4" s="10" t="s">
        <x:v>584</x:v>
      </x:c>
    </x:row>
    <x:row r="5" ht="33.95000076293945" customHeight="1">
      <x:c r="A5" s="11" t="s">
        <x:v>585</x:v>
      </x:c>
      <x:c r="B5" s="6">
        <x:v>3</x:v>
      </x:c>
      <x:c r="C5" s="19" t="s">
        <x:v>11</x:v>
      </x:c>
      <x:c r="D5" s="4" t="s">
        <x:v>586</x:v>
      </x:c>
      <x:c r="E5" s="12" t="s">
        <x:v>587</x:v>
      </x:c>
    </x:row>
    <x:row r="6" ht="33.95000076293945" customHeight="1">
      <x:c r="A6" s="13" t="s">
        <x:v>588</x:v>
      </x:c>
      <x:c r="B6" s="7">
        <x:v>5</x:v>
      </x:c>
      <x:c r="C6" s="20" t="s">
        <x:v>11</x:v>
      </x:c>
      <x:c r="D6" s="5" t="s">
        <x:v>589</x:v>
      </x:c>
      <x:c r="E6" s="14" t="s">
        <x:v>590</x:v>
      </x:c>
    </x:row>
    <x:row r="7" ht="33.95000076293945" customHeight="1">
      <x:c r="A7" s="13" t="s">
        <x:v>591</x:v>
      </x:c>
      <x:c r="B7" s="7">
        <x:v>10</x:v>
      </x:c>
      <x:c r="C7" s="20" t="s">
        <x:v>11</x:v>
      </x:c>
      <x:c r="D7" s="5" t="s">
        <x:v>592</x:v>
      </x:c>
      <x:c r="E7" s="14" t="s">
        <x:v>593</x:v>
      </x:c>
    </x:row>
    <x:row r="8" ht="33.95000076293945" customHeight="1">
      <x:c r="A8" s="13" t="s">
        <x:v>594</x:v>
      </x:c>
      <x:c r="B8" s="7">
        <x:v>10</x:v>
      </x:c>
      <x:c r="C8" s="20" t="s">
        <x:v>11</x:v>
      </x:c>
      <x:c r="D8" s="5" t="s">
        <x:v>595</x:v>
      </x:c>
      <x:c r="E8" s="14" t="s">
        <x:v>596</x:v>
      </x:c>
    </x:row>
    <x:row r="9" ht="33.95000076293945" customHeight="1">
      <x:c r="A9" s="13" t="s">
        <x:v>597</x:v>
      </x:c>
      <x:c r="B9" s="7">
        <x:v>5</x:v>
      </x:c>
      <x:c r="C9" s="20" t="s">
        <x:v>9</x:v>
      </x:c>
      <x:c r="D9" s="5" t="s">
        <x:v>598</x:v>
      </x:c>
      <x:c r="E9" s="14" t="s">
        <x:v>599</x:v>
      </x:c>
    </x:row>
    <x:row r="10" ht="33.95000076293945" customHeight="1">
      <x:c r="A10" s="13" t="s">
        <x:v>600</x:v>
      </x:c>
      <x:c r="B10" s="7">
        <x:v>5</x:v>
      </x:c>
      <x:c r="C10" s="20" t="s">
        <x:v>601</x:v>
      </x:c>
      <x:c r="D10" s="5" t="s">
        <x:v>602</x:v>
      </x:c>
      <x:c r="E10" s="14" t="s">
        <x:v>603</x:v>
      </x:c>
    </x:row>
    <x:row r="11" ht="33.95000076293945" customHeight="1">
      <x:c r="A11" s="13" t="s">
        <x:v>604</x:v>
      </x:c>
      <x:c r="B11" s="7">
        <x:v>5</x:v>
      </x:c>
      <x:c r="C11" s="20" t="s">
        <x:v>11</x:v>
      </x:c>
      <x:c r="D11" s="5" t="s">
        <x:v>605</x:v>
      </x:c>
      <x:c r="E11" s="14" t="s">
        <x:v>606</x:v>
      </x:c>
    </x:row>
    <x:row r="12" ht="33.95000076293945" customHeight="1">
      <x:c r="A12" s="15" t="s">
        <x:v>607</x:v>
      </x:c>
      <x:c r="B12" s="18">
        <x:v>5</x:v>
      </x:c>
      <x:c r="C12" s="21" t="s">
        <x:v>608</x:v>
      </x:c>
      <x:c r="D12" s="16" t="s">
        <x:v>609</x:v>
      </x:c>
      <x:c r="E12" s="17" t="s">
        <x:v>610</x:v>
      </x:c>
    </x:row>
    <x:row r="15" ht="26.100000381469727" customHeight="1">
      <x:c r="A15" s="8" t="s">
        <x:v>611</x:v>
      </x:c>
      <x:c r="B15" s="9" t="s">
        <x:v>612</x:v>
      </x:c>
      <x:c r="C15" s="9" t="s">
        <x:v>613</x:v>
      </x:c>
      <x:c r="D15" s="10" t="s">
        <x:v>614</x:v>
      </x:c>
    </x:row>
    <x:row r="16" ht="33.95000076293945" customHeight="1">
      <x:c r="A16" s="11" t="s">
        <x:v>0</x:v>
      </x:c>
      <x:c r="B16" s="4" t="s">
        <x:v>615</x:v>
      </x:c>
      <x:c r="C16" s="4" t="s">
        <x:v>616</x:v>
      </x:c>
      <x:c r="D16" s="12" t="s">
        <x:v>617</x:v>
      </x:c>
    </x:row>
    <x:row r="17" ht="33.95000076293945" customHeight="1">
      <x:c r="A17" s="13" t="s">
        <x:v>1</x:v>
      </x:c>
      <x:c r="B17" s="5" t="s">
        <x:v>618</x:v>
      </x:c>
      <x:c r="C17" s="5" t="s">
        <x:v>616</x:v>
      </x:c>
      <x:c r="D17" s="14" t="s">
        <x:v>619</x:v>
      </x:c>
    </x:row>
    <x:row r="18" ht="33.95000076293945" customHeight="1">
      <x:c r="A18" s="13" t="s">
        <x:v>2</x:v>
      </x:c>
      <x:c r="B18" s="5" t="s">
        <x:v>620</x:v>
      </x:c>
      <x:c r="C18" s="5" t="s">
        <x:v>616</x:v>
      </x:c>
      <x:c r="D18" s="14" t="s">
        <x:v>621</x:v>
      </x:c>
    </x:row>
    <x:row r="19" ht="33.95000076293945" customHeight="1">
      <x:c r="A19" s="13" t="s">
        <x:v>3</x:v>
      </x:c>
      <x:c r="B19" s="5" t="s">
        <x:v>622</x:v>
      </x:c>
      <x:c r="C19" s="5" t="s">
        <x:v>616</x:v>
      </x:c>
      <x:c r="D19" s="14" t="s">
        <x:v>623</x:v>
      </x:c>
    </x:row>
    <x:row r="20" ht="33.95000076293945" customHeight="1">
      <x:c r="A20" s="13" t="s">
        <x:v>4</x:v>
      </x:c>
      <x:c r="B20" s="5" t="s">
        <x:v>624</x:v>
      </x:c>
      <x:c r="C20" s="5" t="s">
        <x:v>616</x:v>
      </x:c>
      <x:c r="D20" s="14" t="s">
        <x:v>625</x:v>
      </x:c>
    </x:row>
    <x:row r="21" ht="33.95000076293945" customHeight="1">
      <x:c r="A21" s="13" t="s">
        <x:v>5</x:v>
      </x:c>
      <x:c r="B21" s="5" t="s">
        <x:v>626</x:v>
      </x:c>
      <x:c r="C21" s="5" t="s">
        <x:v>616</x:v>
      </x:c>
      <x:c r="D21" s="14" t="s">
        <x:v>627</x:v>
      </x:c>
    </x:row>
    <x:row r="22" ht="33.95000076293945" customHeight="1">
      <x:c r="A22" s="13" t="s">
        <x:v>6</x:v>
      </x:c>
      <x:c r="B22" s="5" t="s">
        <x:v>628</x:v>
      </x:c>
      <x:c r="C22" s="5" t="s">
        <x:v>629</x:v>
      </x:c>
      <x:c r="D22" s="14" t="s">
        <x:v>630</x:v>
      </x:c>
    </x:row>
    <x:row r="23" ht="33.95000076293945" customHeight="1">
      <x:c r="A23" s="13" t="s">
        <x:v>7</x:v>
      </x:c>
      <x:c r="B23" s="5" t="s">
        <x:v>631</x:v>
      </x:c>
      <x:c r="C23" s="5" t="s">
        <x:v>629</x:v>
      </x:c>
      <x:c r="D23" s="14" t="s">
        <x:v>632</x:v>
      </x:c>
    </x:row>
    <x:row r="24" ht="33.95000076293945" customHeight="1">
      <x:c r="A24" s="13" t="s">
        <x:v>8</x:v>
      </x:c>
      <x:c r="B24" s="5" t="s">
        <x:v>633</x:v>
      </x:c>
      <x:c r="C24" s="5" t="s">
        <x:v>634</x:v>
      </x:c>
      <x:c r="D24" s="14" t="s">
        <x:v>635</x:v>
      </x:c>
    </x:row>
    <x:row r="25" ht="33.95000076293945" customHeight="1">
      <x:c r="A25" s="13" t="s">
        <x:v>9</x:v>
      </x:c>
      <x:c r="B25" s="5" t="s">
        <x:v>636</x:v>
      </x:c>
      <x:c r="C25" s="5" t="s">
        <x:v>616</x:v>
      </x:c>
      <x:c r="D25" s="14" t="s">
        <x:v>637</x:v>
      </x:c>
    </x:row>
    <x:row r="26" ht="33.95000076293945" customHeight="1">
      <x:c r="A26" s="13" t="s">
        <x:v>10</x:v>
      </x:c>
      <x:c r="B26" s="5" t="s">
        <x:v>638</x:v>
      </x:c>
      <x:c r="C26" s="5" t="s">
        <x:v>616</x:v>
      </x:c>
      <x:c r="D26" s="14" t="s">
        <x:v>639</x:v>
      </x:c>
    </x:row>
    <x:row r="27" ht="33.95000076293945" customHeight="1">
      <x:c r="A27" s="13" t="s">
        <x:v>11</x:v>
      </x:c>
      <x:c r="B27" s="5" t="s">
        <x:v>640</x:v>
      </x:c>
      <x:c r="C27" s="5" t="s">
        <x:v>616</x:v>
      </x:c>
      <x:c r="D27" s="14" t="s">
        <x:v>641</x:v>
      </x:c>
    </x:row>
    <x:row r="28" ht="33.95000076293945" customHeight="1">
      <x:c r="A28" s="13" t="s">
        <x:v>12</x:v>
      </x:c>
      <x:c r="B28" s="5" t="s">
        <x:v>642</x:v>
      </x:c>
      <x:c r="C28" s="5" t="s">
        <x:v>629</x:v>
      </x:c>
      <x:c r="D28" s="14" t="s">
        <x:v>643</x:v>
      </x:c>
    </x:row>
    <x:row r="29" ht="33.95000076293945" customHeight="1">
      <x:c r="A29" s="13" t="s">
        <x:v>13</x:v>
      </x:c>
      <x:c r="B29" s="5" t="s">
        <x:v>644</x:v>
      </x:c>
      <x:c r="C29" s="5" t="s">
        <x:v>616</x:v>
      </x:c>
      <x:c r="D29" s="14" t="s">
        <x:v>645</x:v>
      </x:c>
    </x:row>
    <x:row r="30" ht="33.95000076293945" customHeight="1">
      <x:c r="A30" s="15" t="s">
        <x:v>14</x:v>
      </x:c>
      <x:c r="B30" s="16" t="s">
        <x:v>646</x:v>
      </x:c>
      <x:c r="C30" s="16" t="s">
        <x:v>629</x:v>
      </x:c>
      <x:c r="D30" s="17" t="s">
        <x:v>647</x:v>
      </x:c>
    </x:row>
    <x:row r="33" ht="26.100000381469727" customHeight="1">
      <x:c r="A33" s="8" t="s">
        <x:v>648</x:v>
      </x:c>
      <x:c r="B33" s="9" t="s">
        <x:v>649</x:v>
      </x:c>
      <x:c r="C33" s="9" t="s">
        <x:v>650</x:v>
      </x:c>
      <x:c r="D33" s="10" t="s">
        <x:v>651</x:v>
      </x:c>
    </x:row>
    <x:row r="34" ht="33.95000076293945" customHeight="1">
      <x:c r="A34" s="11" t="s">
        <x:v>652</x:v>
      </x:c>
      <x:c r="B34" s="6">
        <x:v>161</x:v>
      </x:c>
      <x:c r="C34" s="4" t="s">
        <x:v>653</x:v>
      </x:c>
      <x:c r="D34" s="12" t="s">
        <x:v>654</x:v>
      </x:c>
    </x:row>
    <x:row r="35" ht="33.95000076293945" customHeight="1">
      <x:c r="A35" s="13" t="s">
        <x:v>655</x:v>
      </x:c>
      <x:c r="B35" s="7">
        <x:v>5</x:v>
      </x:c>
      <x:c r="C35" s="5" t="s">
        <x:v>656</x:v>
      </x:c>
      <x:c r="D35" s="14" t="s">
        <x:v>657</x:v>
      </x:c>
    </x:row>
    <x:row r="36" ht="33.95000076293945" customHeight="1">
      <x:c r="A36" s="13" t="s">
        <x:v>658</x:v>
      </x:c>
      <x:c r="B36" s="7">
        <x:v>5</x:v>
      </x:c>
      <x:c r="C36" s="5" t="s">
        <x:v>659</x:v>
      </x:c>
      <x:c r="D36" s="14" t="s">
        <x:v>660</x:v>
      </x:c>
    </x:row>
    <x:row r="37" ht="33.95000076293945" customHeight="1">
      <x:c r="A37" s="13" t="s">
        <x:v>661</x:v>
      </x:c>
      <x:c r="B37" s="7" t="n">
        <x:f>COUNTA('검색평가용'!$B$2:$B$152)</x:f>
        <x:v>151</x:v>
      </x:c>
      <x:c r="C37" s="5" t="s">
        <x:v>662</x:v>
      </x:c>
      <x:c r="D37" s="14" t="s">
        <x:v>663</x:v>
      </x:c>
    </x:row>
    <x:row r="38" ht="33.95000076293945" customHeight="1">
      <x:c r="A38" s="15" t="s">
        <x:v>664</x:v>
      </x:c>
      <x:c r="B38" s="18" t="n">
        <x:f>COUNTIF('검색평가용'!$A$2:$A$152,"Y")</x:f>
        <x:v>97</x:v>
      </x:c>
      <x:c r="C38" s="16" t="s">
        <x:v>665</x:v>
      </x:c>
      <x:c r="D38" s="17" t="s">
        <x:v>663</x:v>
      </x:c>
    </x:row>
    <x:row r="41">
      <x:c r="A41" s="91" t="str">
        <x:v>추가 검수 칼럼</x:v>
      </x:c>
      <x:c r="B41" s="91" t="str">
        <x:v>의미</x:v>
      </x:c>
      <x:c r="C41" s="91" t="str">
        <x:v>값 예시</x:v>
      </x:c>
      <x:c r="D41" s="91" t="str">
        <x:v>평가 사용</x:v>
      </x:c>
      <x:c r="E41" s="91" t="str">
        <x:v>운영 규칙</x:v>
      </x:c>
    </x:row>
    <x:row r="42">
      <x:c r="A42" s="94" t="str">
        <x:v>retrieval_evaluation_applicable</x:v>
      </x:c>
      <x:c r="B42" s="94" t="str">
        <x:v>검색 지표 계산 대상 여부</x:v>
      </x:c>
      <x:c r="C42" s="94" t="str">
        <x:v>Y / N</x:v>
      </x:c>
      <x:c r="D42" s="94" t="str">
        <x:v>필수</x:v>
      </x:c>
      <x:c r="E42" s="94" t="str">
        <x:v>N인 문항은 검색 성능 평균에서 제외</x:v>
      </x:c>
    </x:row>
    <x:row r="43">
      <x:c r="A43" s="94" t="str">
        <x:v>gold_answerable</x:v>
      </x:c>
      <x:c r="B43" s="94" t="str">
        <x:v>현재 질문과 코퍼스로 직접 답변 가능한지</x:v>
      </x:c>
      <x:c r="C43" s="94" t="str">
        <x:v>true / false</x:v>
      </x:c>
      <x:c r="D43" s="94" t="str">
        <x:v>정책</x:v>
      </x:c>
      <x:c r="E43" s="94" t="str">
        <x:v>false이면 Gold를 억지로 지정하지 않음</x:v>
      </x:c>
    </x:row>
    <x:row r="44">
      <x:c r="A44" s="94" t="str">
        <x:v>gold_ambiguity_status</x:v>
      </x:c>
      <x:c r="B44" s="94" t="str">
        <x:v>질문의 추가 확인 필요 상태</x:v>
      </x:c>
      <x:c r="C44" s="94" t="str">
        <x:v>clear / needs_clarification</x:v>
      </x:c>
      <x:c r="D44" s="94" t="str">
        <x:v>정책</x:v>
      </x:c>
      <x:c r="E44" s="94" t="str">
        <x:v>모호성과 질문 복잡도를 분리</x:v>
      </x:c>
    </x:row>
    <x:row r="45">
      <x:c r="A45" s="94" t="str">
        <x:v>gold_expected_action</x:v>
      </x:c>
      <x:c r="B45" s="94" t="str">
        <x:v>챗봇이 수행해야 할 행동</x:v>
      </x:c>
      <x:c r="C45" s="94" t="str">
        <x:v>answer / ask_clarification</x:v>
      </x:c>
      <x:c r="D45" s="94" t="str">
        <x:v>정책</x:v>
      </x:c>
      <x:c r="E45" s="94" t="str">
        <x:v>검색평가와 대화정책 평가를 분리</x:v>
      </x:c>
    </x:row>
    <x:row r="46">
      <x:c r="A46" s="94" t="str">
        <x:v>gold_clarification_question</x:v>
      </x:c>
      <x:c r="B46" s="94" t="str">
        <x:v>추가로 물어볼 질문</x:v>
      </x:c>
      <x:c r="C46" s="94" t="str">
        <x:v>어떤 종류의 미수령금인가요?</x:v>
      </x:c>
      <x:c r="D46" s="94" t="str">
        <x:v>정책</x:v>
      </x:c>
      <x:c r="E46" s="94" t="str">
        <x:v>명확한 질문은 빈칸</x:v>
      </x:c>
    </x:row>
    <x:row r="47">
      <x:c r="A47" s="94" t="str">
        <x:v>gold_clarification_options</x:v>
      </x:c>
      <x:c r="B47" s="94" t="str">
        <x:v>사용자에게 제공할 선택지</x:v>
      </x:c>
      <x:c r="C47" s="94" t="str">
        <x:v>["예금보험금","파산배당금"]</x:v>
      </x:c>
      <x:c r="D47" s="94" t="str">
        <x:v>정책</x:v>
      </x:c>
      <x:c r="E47" s="94" t="str">
        <x:v>JSON 배열</x:v>
      </x:c>
    </x:row>
    <x:row r="48">
      <x:c r="A48" s="94" t="str">
        <x:v>allowed_business_functions</x:v>
      </x:c>
      <x:c r="B48" s="94" t="str">
        <x:v>검색을 허용할 업무 범위</x:v>
      </x:c>
      <x:c r="C48" s="94" t="str">
        <x:v>["unclaimed_funds"]</x:v>
      </x:c>
      <x:c r="D48" s="94" t="str">
        <x:v>필터</x:v>
      </x:c>
      <x:c r="E48" s="94" t="str">
        <x:v>복수 업무 문항은 배열에 함께 기록</x:v>
      </x:c>
    </x:row>
    <x:row r="49">
      <x:c r="A49" s="94" t="str">
        <x:v>gold_alternative_chunk_ids</x:v>
      </x:c>
      <x:c r="B49" s="94" t="str">
        <x:v>동등한 정답으로 인정할 대체 청크</x:v>
      </x:c>
      <x:c r="C49" s="94" t="str">
        <x:v>["DP-003_chunk_000"]</x:v>
      </x:c>
      <x:c r="D49" s="94" t="str">
        <x:v>보조지표</x:v>
      </x:c>
      <x:c r="E49" s="94" t="str">
        <x:v>기존 평가기가 지원하면 정답 집합에 포함</x:v>
      </x:c>
    </x:row>
    <x:row r="50">
      <x:c r="A50" s="94" t="str">
        <x:v>related_chunk_ids</x:v>
      </x:c>
      <x:c r="B50" s="94" t="str">
        <x:v>직접 정답은 아니지만 정책 판단에 참고한 청크</x:v>
      </x:c>
      <x:c r="C50" s="94" t="str">
        <x:v>["DP-006_chunk_013"]</x:v>
      </x:c>
      <x:c r="D50" s="94" t="str">
        <x:v>검수</x:v>
      </x:c>
      <x:c r="E50" s="94" t="str">
        <x:v>Gold와 구분</x:v>
      </x:c>
    </x:row>
    <x:row r="51">
      <x:c r="A51" s="94" t="str">
        <x:v>gold_document_ids</x:v>
      </x:c>
      <x:c r="B51" s="94" t="str">
        <x:v>Gold 문서 ID</x:v>
      </x:c>
      <x:c r="C51" s="94" t="str">
        <x:v>["DP-003"]</x:v>
      </x:c>
      <x:c r="D51" s="94" t="str">
        <x:v>검수</x:v>
      </x:c>
      <x:c r="E51" s="94" t="str">
        <x:v>Gold 청크에서 자동 생성</x:v>
      </x:c>
    </x:row>
    <x:row r="52">
      <x:c r="A52" s="94" t="str">
        <x:v>gold_section_titles</x:v>
      </x:c>
      <x:c r="B52" s="94" t="str">
        <x:v>Gold 부제목</x:v>
      </x:c>
      <x:c r="C52" s="94" t="str">
        <x:v>["보호대상금융회사"]</x:v>
      </x:c>
      <x:c r="D52" s="94" t="str">
        <x:v>검수</x:v>
      </x:c>
      <x:c r="E52" s="94" t="str">
        <x:v>Gold 청크에서 자동 생성</x:v>
      </x:c>
    </x:row>
    <x:row r="53">
      <x:c r="A53" s="94" t="str">
        <x:v>gold_review_note</x:v>
      </x:c>
      <x:c r="B53" s="94" t="str">
        <x:v>수정 및 제외 사유</x:v>
      </x:c>
      <x:c r="C53" s="94" t="str">
        <x:v>직접 근거 없음</x:v>
      </x:c>
      <x:c r="D53" s="94" t="str">
        <x:v>검수</x:v>
      </x:c>
      <x:c r="E53" s="94" t="str">
        <x:v>사람 최종 검수 시 확인</x:v>
      </x:c>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5" hidden="0" customWidth="1"/>
    <x:col min="4" max="4" width="15" hidden="0" customWidth="1"/>
    <x:col min="5" max="5" width="15" hidden="0" customWidth="1"/>
    <x:col min="6" max="6" width="15" hidden="0" customWidth="1"/>
    <x:col min="7" max="7" width="58" hidden="0" customWidth="1"/>
    <x:col min="8" max="8" width="16" hidden="0" customWidth="1"/>
  </x:cols>
  <x:sheetData>
    <x:row r="1" ht="34" customHeight="1">
      <x:c r="A1" s="52" t="str">
        <x:v>평가데이터셋 Gold 1차 검수 결과</x:v>
      </x:c>
      <x:c r="B1" s="52"/>
      <x:c r="C1" s="52"/>
      <x:c r="D1" s="52"/>
      <x:c r="E1" s="52"/>
      <x:c r="F1" s="52"/>
      <x:c r="G1" s="52"/>
      <x:c r="H1" s="52"/>
    </x:row>
    <x:row r="3">
      <x:c r="A3" s="72" t="str">
        <x:v>원래 검색평가 문항</x:v>
      </x:c>
      <x:c r="B3" s="73" t="n">
        <x:v>113</x:v>
      </x:c>
      <x:c r="C3" s="73" t="str">
        <x:v>수정 후 검색평가 문항</x:v>
      </x:c>
      <x:c r="D3" s="73" t="n">
        <x:v>97</x:v>
      </x:c>
      <x:c r="E3" s="73" t="str">
        <x:v>검색평가 제외</x:v>
      </x:c>
      <x:c r="F3" s="74" t="n">
        <x:v>16</x:v>
      </x:c>
    </x:row>
    <x:row r="4">
      <x:c r="A4" s="75" t="str">
        <x:v>Gold 직접 수정</x:v>
      </x:c>
      <x:c r="B4" s="76" t="n">
        <x:v>13</x:v>
      </x:c>
      <x:c r="C4" s="76" t="str">
        <x:v>수정·정책검토 전체</x:v>
      </x:c>
      <x:c r="D4" s="76" t="n">
        <x:v>29</x:v>
      </x:c>
      <x:c r="E4" s="76" t="str">
        <x:v>원본 보존</x:v>
      </x:c>
      <x:c r="F4" s="77" t="str">
        <x:v>예</x:v>
      </x:c>
    </x:row>
    <x:row r="5">
      <x:c r="A5" s="78" t="str">
        <x:v>검수 버전</x:v>
      </x:c>
      <x:c r="B5" s="79" t="str">
        <x:v>v1.1_gold_review</x:v>
      </x:c>
      <x:c r="C5" s="79" t="str">
        <x:v>검수일</x:v>
      </x:c>
      <x:c r="D5" s="79" t="str">
        <x:v>2026-07-30</x:v>
      </x:c>
      <x:c r="E5" s="79" t="str">
        <x:v>상태</x:v>
      </x:c>
      <x:c r="F5" s="80" t="str">
        <x:v>사람 최종 검수 필요</x:v>
      </x:c>
    </x:row>
    <x:row r="7">
      <x:c r="A7" s="84" t="str">
        <x:v>evaluation_id</x:v>
      </x:c>
      <x:c r="B7" s="84" t="str">
        <x:v>처리구분</x:v>
      </x:c>
      <x:c r="C7" s="84" t="str">
        <x:v>검색평가</x:v>
      </x:c>
      <x:c r="D7" s="84" t="str">
        <x:v>답변가능</x:v>
      </x:c>
      <x:c r="E7" s="84" t="str">
        <x:v>모호성</x:v>
      </x:c>
      <x:c r="F7" s="84" t="str">
        <x:v>예상행동</x:v>
      </x:c>
      <x:c r="G7" s="84" t="str">
        <x:v>검수 내용</x:v>
      </x:c>
      <x:c r="H7" s="84" t="str">
        <x:v>사람 최종검수</x:v>
      </x:c>
    </x:row>
    <x:row r="8">
      <x:c r="A8" s="88" t="str">
        <x:v>BI-Q020</x:v>
      </x:c>
      <x:c r="B8" s="88" t="str">
        <x:v>정책·평가분리</x:v>
      </x:c>
      <x:c r="C8" s="88" t="str">
        <x:v>N</x:v>
      </x:c>
      <x:c r="D8" s="88" t="str">
        <x:v>false</x:v>
      </x:c>
      <x:c r="E8" s="88" t="str">
        <x:v>needs_clarification</x:v>
      </x:c>
      <x:c r="F8" s="88" t="str">
        <x:v>ask_clarification</x:v>
      </x:c>
      <x:c r="G8" s="88" t="str">
        <x:v>신청자 역할에 따라 서류가 달라 한 번에 모든 청크를 정답으로 요구하지 않도록 제외.</x:v>
      </x:c>
      <x:c r="H8" s="88" t="str">
        <x:v>필요</x:v>
      </x:c>
    </x:row>
    <x:row r="9">
      <x:c r="A9" s="89" t="str">
        <x:v>BI-Q024</x:v>
      </x:c>
      <x:c r="B9" s="89" t="str">
        <x:v>Gold 수정</x:v>
      </x:c>
      <x:c r="C9" s="89" t="str">
        <x:v>Y</x:v>
      </x:c>
      <x:c r="D9" s="89" t="str">
        <x:v>true</x:v>
      </x:c>
      <x:c r="E9" s="89" t="str">
        <x:v>clear</x:v>
      </x:c>
      <x:c r="F9" s="89" t="str">
        <x:v>answer</x:v>
      </x:c>
      <x:c r="G9" s="89" t="str">
        <x:v>Gold가 설명하는 범위에 맞게 질문을 '신청 후 입금기간'으로 구체화.</x:v>
      </x:c>
      <x:c r="H9" s="89" t="str">
        <x:v>필요</x:v>
      </x:c>
    </x:row>
    <x:row r="10">
      <x:c r="A10" s="89" t="str">
        <x:v>BI-Q036</x:v>
      </x:c>
      <x:c r="B10" s="89" t="str">
        <x:v>Gold 수정</x:v>
      </x:c>
      <x:c r="C10" s="89" t="str">
        <x:v>Y</x:v>
      </x:c>
      <x:c r="D10" s="89" t="str">
        <x:v>true</x:v>
      </x:c>
      <x:c r="E10" s="89" t="str">
        <x:v>clear</x:v>
      </x:c>
      <x:c r="F10" s="89" t="str">
        <x:v>answer</x:v>
      </x:c>
      <x:c r="G10" s="89" t="str">
        <x:v>온라인·방문 신청을 직접 설명하는 청크를 Primary로 단순화.</x:v>
      </x:c>
      <x:c r="H10" s="89" t="str">
        <x:v>필요</x:v>
      </x:c>
    </x:row>
    <x:row r="11">
      <x:c r="A11" s="89" t="str">
        <x:v>DA-Q075</x:v>
      </x:c>
      <x:c r="B11" s="89" t="str">
        <x:v>Gold 수정</x:v>
      </x:c>
      <x:c r="C11" s="89" t="str">
        <x:v>Y</x:v>
      </x:c>
      <x:c r="D11" s="89" t="str">
        <x:v>true</x:v>
      </x:c>
      <x:c r="E11" s="89" t="str">
        <x:v>clear</x:v>
      </x:c>
      <x:c r="F11" s="89" t="str">
        <x:v>answer</x:v>
      </x:c>
      <x:c r="G11" s="89" t="str">
        <x:v>상담 신청 방법 청크를 Primary로, 제도 설명을 Supporting으로 정리.</x:v>
      </x:c>
      <x:c r="H11" s="89" t="str">
        <x:v>필요</x:v>
      </x:c>
    </x:row>
    <x:row r="12">
      <x:c r="A12" s="89" t="str">
        <x:v>DA-Q082</x:v>
      </x:c>
      <x:c r="B12" s="89" t="str">
        <x:v>Gold 수정</x:v>
      </x:c>
      <x:c r="C12" s="89" t="str">
        <x:v>Y</x:v>
      </x:c>
      <x:c r="D12" s="89" t="str">
        <x:v>true</x:v>
      </x:c>
      <x:c r="E12" s="89" t="str">
        <x:v>clear</x:v>
      </x:c>
      <x:c r="F12" s="89" t="str">
        <x:v>answer</x:v>
      </x:c>
      <x:c r="G12" s="89" t="str">
        <x:v>면책의 의미와 자동 면책이 아님을 설명하는 두 청크를 필수 근거로 정리.</x:v>
      </x:c>
      <x:c r="H12" s="89" t="str">
        <x:v>필요</x:v>
      </x:c>
    </x:row>
    <x:row r="13">
      <x:c r="A13" s="89" t="str">
        <x:v>DP-Q007</x:v>
      </x:c>
      <x:c r="B13" s="89" t="str">
        <x:v>Gold 수정</x:v>
      </x:c>
      <x:c r="C13" s="89" t="str">
        <x:v>Y</x:v>
      </x:c>
      <x:c r="D13" s="89" t="str">
        <x:v>true</x:v>
      </x:c>
      <x:c r="E13" s="89" t="str">
        <x:v>clear</x:v>
      </x:c>
      <x:c r="F13" s="89" t="str">
        <x:v>answer</x:v>
      </x:c>
      <x:c r="G13" s="89" t="str">
        <x:v>금융회사 종류를 직접 설명하는 개요 청크를 Primary로 변경.</x:v>
      </x:c>
      <x:c r="H13" s="89" t="str">
        <x:v>필요</x:v>
      </x:c>
    </x:row>
    <x:row r="14">
      <x:c r="A14" s="89" t="str">
        <x:v>DP-Q008</x:v>
      </x:c>
      <x:c r="B14" s="89" t="str">
        <x:v>Gold 수정</x:v>
      </x:c>
      <x:c r="C14" s="89" t="str">
        <x:v>Y</x:v>
      </x:c>
      <x:c r="D14" s="89" t="str">
        <x:v>true</x:v>
      </x:c>
      <x:c r="E14" s="89" t="str">
        <x:v>clear</x:v>
      </x:c>
      <x:c r="F14" s="89" t="str">
        <x:v>answer</x:v>
      </x:c>
      <x:c r="G14" s="89" t="str">
        <x:v>상호저축은행 포함 여부를 직접 확인할 수 있는 개요 청크로 정리.</x:v>
      </x:c>
      <x:c r="H14" s="89" t="str">
        <x:v>필요</x:v>
      </x:c>
    </x:row>
    <x:row r="15">
      <x:c r="A15" s="89" t="str">
        <x:v>DP-Q009</x:v>
      </x:c>
      <x:c r="B15" s="89" t="str">
        <x:v>Gold 수정</x:v>
      </x:c>
      <x:c r="C15" s="89" t="str">
        <x:v>Y</x:v>
      </x:c>
      <x:c r="D15" s="89" t="str">
        <x:v>true</x:v>
      </x:c>
      <x:c r="E15" s="89" t="str">
        <x:v>clear</x:v>
      </x:c>
      <x:c r="F15" s="89" t="str">
        <x:v>answer</x:v>
      </x:c>
      <x:c r="G15" s="89" t="str">
        <x:v>증권사 포함 여부는 표와 개요 청크 모두 정답 가능하여 대체 Gold 추가.</x:v>
      </x:c>
      <x:c r="H15" s="89" t="str">
        <x:v>필요</x:v>
      </x:c>
    </x:row>
    <x:row r="16">
      <x:c r="A16" s="89" t="str">
        <x:v>DP-Q010</x:v>
      </x:c>
      <x:c r="B16" s="89" t="str">
        <x:v>정책·평가분리</x:v>
      </x:c>
      <x:c r="C16" s="89" t="str">
        <x:v>N</x:v>
      </x:c>
      <x:c r="D16" s="89" t="str">
        <x:v>false</x:v>
      </x:c>
      <x:c r="E16" s="89" t="str">
        <x:v>needs_clarification</x:v>
      </x:c>
      <x:c r="F16" s="89" t="str">
        <x:v>ask_clarification</x:v>
      </x:c>
      <x:c r="G16" s="89" t="str">
        <x:v>질문 범위가 전체 금융상품으로 넓고 기존 Gold는 보험회사 일부만 포함하여 검색평가에서 제외.</x:v>
      </x:c>
      <x:c r="H16" s="89" t="str">
        <x:v>필요</x:v>
      </x:c>
    </x:row>
    <x:row r="17">
      <x:c r="A17" s="89" t="str">
        <x:v>DP-Q011</x:v>
      </x:c>
      <x:c r="B17" s="89" t="str">
        <x:v>Gold 수정</x:v>
      </x:c>
      <x:c r="C17" s="89" t="str">
        <x:v>Y</x:v>
      </x:c>
      <x:c r="D17" s="89" t="str">
        <x:v>true</x:v>
      </x:c>
      <x:c r="E17" s="89" t="str">
        <x:v>clear</x:v>
      </x:c>
      <x:c r="F17" s="89" t="str">
        <x:v>answer</x:v>
      </x:c>
      <x:c r="G17" s="89" t="str">
        <x:v>무관한 보험회사 비보호 상품 청크 제거.</x:v>
      </x:c>
      <x:c r="H17" s="89" t="str">
        <x:v>필요</x:v>
      </x:c>
    </x:row>
    <x:row r="18">
      <x:c r="A18" s="89" t="str">
        <x:v>DP-Q012</x:v>
      </x:c>
      <x:c r="B18" s="89" t="str">
        <x:v>정책·평가분리</x:v>
      </x:c>
      <x:c r="C18" s="89" t="str">
        <x:v>N</x:v>
      </x:c>
      <x:c r="D18" s="89" t="str">
        <x:v>false</x:v>
      </x:c>
      <x:c r="E18" s="89" t="str">
        <x:v>needs_clarification</x:v>
      </x:c>
      <x:c r="F18" s="89" t="str">
        <x:v>ask_clarification</x:v>
      </x:c>
      <x:c r="G18" s="89" t="str">
        <x:v>은행·보험 청크만으로 전체 보호·비보호 상품 구분을 대표할 수 없어 검색평가에서 제외.</x:v>
      </x:c>
      <x:c r="H18" s="89" t="str">
        <x:v>필요</x:v>
      </x:c>
    </x:row>
    <x:row r="19">
      <x:c r="A19" s="89" t="str">
        <x:v>DP-Q014</x:v>
      </x:c>
      <x:c r="B19" s="89" t="str">
        <x:v>Gold 수정</x:v>
      </x:c>
      <x:c r="C19" s="89" t="str">
        <x:v>Y</x:v>
      </x:c>
      <x:c r="D19" s="89" t="str">
        <x:v>true</x:v>
      </x:c>
      <x:c r="E19" s="89" t="str">
        <x:v>clear</x:v>
      </x:c>
      <x:c r="F19" s="89" t="str">
        <x:v>answer</x:v>
      </x:c>
      <x:c r="G19" s="89" t="str">
        <x:v>질문과 무관한 후순위채권 청크 제거.</x:v>
      </x:c>
      <x:c r="H19" s="89" t="str">
        <x:v>필요</x:v>
      </x:c>
    </x:row>
    <x:row r="20">
      <x:c r="A20" s="89" t="str">
        <x:v>HA-Q094</x:v>
      </x:c>
      <x:c r="B20" s="89" t="str">
        <x:v>Gold 수정</x:v>
      </x:c>
      <x:c r="C20" s="89" t="str">
        <x:v>Y</x:v>
      </x:c>
      <x:c r="D20" s="89" t="str">
        <x:v>true</x:v>
      </x:c>
      <x:c r="E20" s="89" t="str">
        <x:v>clear</x:v>
      </x:c>
      <x:c r="F20" s="89" t="str">
        <x:v>answer</x:v>
      </x:c>
      <x:c r="G20" s="89" t="str">
        <x:v>은닉재산 신고와 불법행위 신고 양쪽 정의 청크를 모두 연결.</x:v>
      </x:c>
      <x:c r="H20" s="89" t="str">
        <x:v>필요</x:v>
      </x:c>
    </x:row>
    <x:row r="21">
      <x:c r="A21" s="89" t="str">
        <x:v>MT-Q043</x:v>
      </x:c>
      <x:c r="B21" s="89" t="str">
        <x:v>정책·평가분리</x:v>
      </x:c>
      <x:c r="C21" s="89" t="str">
        <x:v>N</x:v>
      </x:c>
      <x:c r="D21" s="89" t="str">
        <x:v>false</x:v>
      </x:c>
      <x:c r="E21" s="89" t="str">
        <x:v>clear</x:v>
      </x:c>
      <x:c r="F21" s="89" t="str">
        <x:v>answer_with_limitation</x:v>
      </x:c>
      <x:c r="G21" s="89" t="str">
        <x:v>온라인과 방문 신청의 처리속도를 비교하는 근거가 없으며 전체 처리기간 청크만 존재.</x:v>
      </x:c>
      <x:c r="H21" s="89" t="str">
        <x:v>필요</x:v>
      </x:c>
    </x:row>
    <x:row r="22">
      <x:c r="A22" s="89" t="str">
        <x:v>MT-Q047</x:v>
      </x:c>
      <x:c r="B22" s="89" t="str">
        <x:v>정책·평가분리</x:v>
      </x:c>
      <x:c r="C22" s="89" t="str">
        <x:v>N</x:v>
      </x:c>
      <x:c r="D22" s="89" t="str">
        <x:v>true</x:v>
      </x:c>
      <x:c r="E22" s="89" t="str">
        <x:v>clear</x:v>
      </x:c>
      <x:c r="F22" s="89" t="str">
        <x:v>show_faq_list</x:v>
      </x:c>
      <x:c r="G22" s="89" t="str">
        <x:v>FAQ 10개 목록 제공 기능 문항. Top-5 검색평가가 아닌 UI·기능 테스트로 분리.</x:v>
      </x:c>
      <x:c r="H22" s="89" t="str">
        <x:v>필요</x:v>
      </x:c>
    </x:row>
    <x:row r="23">
      <x:c r="A23" s="89" t="str">
        <x:v>MT-Q048</x:v>
      </x:c>
      <x:c r="B23" s="89" t="str">
        <x:v>정책·평가분리</x:v>
      </x:c>
      <x:c r="C23" s="89" t="str">
        <x:v>N</x:v>
      </x:c>
      <x:c r="D23" s="89" t="str">
        <x:v>true</x:v>
      </x:c>
      <x:c r="E23" s="89" t="str">
        <x:v>clear</x:v>
      </x:c>
      <x:c r="F23" s="89" t="str">
        <x:v>show_faq_list</x:v>
      </x:c>
      <x:c r="G23" s="89" t="str">
        <x:v>FAQ 10개 목록 제공 기능 문항. Top-5 검색평가가 아닌 UI·기능 테스트로 분리.</x:v>
      </x:c>
      <x:c r="H23" s="89" t="str">
        <x:v>필요</x:v>
      </x:c>
    </x:row>
    <x:row r="24">
      <x:c r="A24" s="89" t="str">
        <x:v>MT-Q049</x:v>
      </x:c>
      <x:c r="B24" s="89" t="str">
        <x:v>Gold 수정</x:v>
      </x:c>
      <x:c r="C24" s="89" t="str">
        <x:v>Y</x:v>
      </x:c>
      <x:c r="D24" s="89" t="str">
        <x:v>true</x:v>
      </x:c>
      <x:c r="E24" s="89" t="str">
        <x:v>clear</x:v>
      </x:c>
      <x:c r="F24" s="89" t="str">
        <x:v>answer</x:v>
      </x:c>
      <x:c r="G24" s="89" t="str">
        <x:v>기한은 유의사항 청크만 필수이며 서류 청크는 보조 근거로 정리.</x:v>
      </x:c>
      <x:c r="H24" s="89" t="str">
        <x:v>필요</x:v>
      </x:c>
    </x:row>
    <x:row r="25">
      <x:c r="A25" s="89" t="str">
        <x:v>MT-Q064</x:v>
      </x:c>
      <x:c r="B25" s="89" t="str">
        <x:v>Gold 수정</x:v>
      </x:c>
      <x:c r="C25" s="89" t="str">
        <x:v>Y</x:v>
      </x:c>
      <x:c r="D25" s="89" t="str">
        <x:v>true</x:v>
      </x:c>
      <x:c r="E25" s="89" t="str">
        <x:v>clear</x:v>
      </x:c>
      <x:c r="F25" s="89" t="str">
        <x:v>answer</x:v>
      </x:c>
      <x:c r="G25" s="89" t="str">
        <x:v>금액 질문에서 제외 대상 청크를 제거.</x:v>
      </x:c>
      <x:c r="H25" s="89" t="str">
        <x:v>필요</x:v>
      </x:c>
    </x:row>
    <x:row r="26">
      <x:c r="A26" s="89" t="str">
        <x:v>MT-Q066</x:v>
      </x:c>
      <x:c r="B26" s="89" t="str">
        <x:v>Gold 수정</x:v>
      </x:c>
      <x:c r="C26" s="89" t="str">
        <x:v>Y</x:v>
      </x:c>
      <x:c r="D26" s="89" t="str">
        <x:v>true</x:v>
      </x:c>
      <x:c r="E26" s="89" t="str">
        <x:v>clear</x:v>
      </x:c>
      <x:c r="F26" s="89" t="str">
        <x:v>answer</x:v>
      </x:c>
      <x:c r="G26" s="89" t="str">
        <x:v>비용률 예시가 실제로 포함된 신청 대상 청크로 교체.</x:v>
      </x:c>
      <x:c r="H26" s="89" t="str">
        <x:v>필요</x:v>
      </x:c>
    </x:row>
    <x:row r="27">
      <x:c r="A27" s="89" t="str">
        <x:v>MT-Q108</x:v>
      </x:c>
      <x:c r="B27" s="89" t="str">
        <x:v>정책·평가분리</x:v>
      </x:c>
      <x:c r="C27" s="89" t="str">
        <x:v>N</x:v>
      </x:c>
      <x:c r="D27" s="89" t="str">
        <x:v>false</x:v>
      </x:c>
      <x:c r="E27" s="89" t="str">
        <x:v>needs_clarification</x:v>
      </x:c>
      <x:c r="F27" s="89" t="str">
        <x:v>answer_with_limitation</x:v>
      </x:c>
      <x:c r="G27" s="89" t="str">
        <x:v>예금보호와 착오송금을 혼동한 복수 업무 문항으로 단일 업무 검색평가에서 제외.</x:v>
      </x:c>
      <x:c r="H27" s="89" t="str">
        <x:v>필요</x:v>
      </x:c>
    </x:row>
    <x:row r="28">
      <x:c r="A28" s="89" t="str">
        <x:v>UN-Q133</x:v>
      </x:c>
      <x:c r="B28" s="89" t="str">
        <x:v>정책·평가분리</x:v>
      </x:c>
      <x:c r="C28" s="89" t="str">
        <x:v>N</x:v>
      </x:c>
      <x:c r="D28" s="89" t="str">
        <x:v>false</x:v>
      </x:c>
      <x:c r="E28" s="89" t="str">
        <x:v>needs_clarification</x:v>
      </x:c>
      <x:c r="F28" s="89" t="str">
        <x:v>ask_clarification</x:v>
      </x:c>
      <x:c r="G28" s="89" t="str">
        <x:v>예금보험금 세금 근거를 일반 미수령금 전체에 적용할 수 없어 직접 답변 불가.</x:v>
      </x:c>
      <x:c r="H28" s="89" t="str">
        <x:v>필요</x:v>
      </x:c>
    </x:row>
    <x:row r="29">
      <x:c r="A29" s="89" t="str">
        <x:v>UN-Q134</x:v>
      </x:c>
      <x:c r="B29" s="89" t="str">
        <x:v>정책·평가분리</x:v>
      </x:c>
      <x:c r="C29" s="89" t="str">
        <x:v>N</x:v>
      </x:c>
      <x:c r="D29" s="89" t="str">
        <x:v>false</x:v>
      </x:c>
      <x:c r="E29" s="89" t="str">
        <x:v>needs_clarification</x:v>
      </x:c>
      <x:c r="F29" s="89" t="str">
        <x:v>ask_clarification</x:v>
      </x:c>
      <x:c r="G29" s="89" t="str">
        <x:v>재외국민 관련 근거가 다른 업무 FAQ에 있고 모든 미수령금에 공통 적용되는지 불명확.</x:v>
      </x:c>
      <x:c r="H29" s="89" t="str">
        <x:v>필요</x:v>
      </x:c>
    </x:row>
    <x:row r="30">
      <x:c r="A30" s="89" t="str">
        <x:v>UN-Q135</x:v>
      </x:c>
      <x:c r="B30" s="89" t="str">
        <x:v>정책·평가분리</x:v>
      </x:c>
      <x:c r="C30" s="89" t="str">
        <x:v>N</x:v>
      </x:c>
      <x:c r="D30" s="89" t="str">
        <x:v>false</x:v>
      </x:c>
      <x:c r="E30" s="89" t="str">
        <x:v>clear</x:v>
      </x:c>
      <x:c r="F30" s="89" t="str">
        <x:v>answer_with_limitation</x:v>
      </x:c>
      <x:c r="G30" s="89" t="str">
        <x:v>법인 명의 미수령금 조회·신청 가능 여부를 직접 설명하는 청크가 없어 문의 경로 안내 필요.</x:v>
      </x:c>
      <x:c r="H30" s="89" t="str">
        <x:v>필요</x:v>
      </x:c>
    </x:row>
    <x:row r="31">
      <x:c r="A31" s="89" t="str">
        <x:v>UN-Q136</x:v>
      </x:c>
      <x:c r="B31" s="89" t="str">
        <x:v>정책·평가분리</x:v>
      </x:c>
      <x:c r="C31" s="89" t="str">
        <x:v>N</x:v>
      </x:c>
      <x:c r="D31" s="89" t="str">
        <x:v>false</x:v>
      </x:c>
      <x:c r="E31" s="89" t="str">
        <x:v>needs_clarification</x:v>
      </x:c>
      <x:c r="F31" s="89" t="str">
        <x:v>ask_clarification</x:v>
      </x:c>
      <x:c r="G31" s="89" t="str">
        <x:v>기존 근거는 예금보험금·가지급금에 한정되어 일반 미수령금 질문에 바로 적용할 수 없음.</x:v>
      </x:c>
      <x:c r="H31" s="89" t="str">
        <x:v>필요</x:v>
      </x:c>
    </x:row>
    <x:row r="32">
      <x:c r="A32" s="89" t="str">
        <x:v>UN-Q137</x:v>
      </x:c>
      <x:c r="B32" s="89" t="str">
        <x:v>정책·평가분리</x:v>
      </x:c>
      <x:c r="C32" s="89" t="str">
        <x:v>N</x:v>
      </x:c>
      <x:c r="D32" s="89" t="str">
        <x:v>false</x:v>
      </x:c>
      <x:c r="E32" s="89" t="str">
        <x:v>needs_clarification</x:v>
      </x:c>
      <x:c r="F32" s="89" t="str">
        <x:v>ask_clarification</x:v>
      </x:c>
      <x:c r="G32" s="89" t="str">
        <x:v>환율 청크는 예금보험금에 한정되어 미수령금 종류 확인이 필요.</x:v>
      </x:c>
      <x:c r="H32" s="89" t="str">
        <x:v>필요</x:v>
      </x:c>
    </x:row>
    <x:row r="33">
      <x:c r="A33" s="89" t="str">
        <x:v>UN-Q138</x:v>
      </x:c>
      <x:c r="B33" s="89" t="str">
        <x:v>정책·평가분리</x:v>
      </x:c>
      <x:c r="C33" s="89" t="str">
        <x:v>N</x:v>
      </x:c>
      <x:c r="D33" s="89" t="str">
        <x:v>false</x:v>
      </x:c>
      <x:c r="E33" s="89" t="str">
        <x:v>needs_clarification</x:v>
      </x:c>
      <x:c r="F33" s="89" t="str">
        <x:v>ask_clarification</x:v>
      </x:c>
      <x:c r="G33" s="89" t="str">
        <x:v>금액 종류에 따라 지급 주체와 절차가 달라 기존 6개 Gold를 일괄 정답으로 사용할 수 없음.</x:v>
      </x:c>
      <x:c r="H33" s="89" t="str">
        <x:v>필요</x:v>
      </x:c>
    </x:row>
    <x:row r="34">
      <x:c r="A34" s="89" t="str">
        <x:v>UN-Q139</x:v>
      </x:c>
      <x:c r="B34" s="89" t="str">
        <x:v>정책·평가분리</x:v>
      </x:c>
      <x:c r="C34" s="89" t="str">
        <x:v>N</x:v>
      </x:c>
      <x:c r="D34" s="89" t="str">
        <x:v>false</x:v>
      </x:c>
      <x:c r="E34" s="89" t="str">
        <x:v>clear</x:v>
      </x:c>
      <x:c r="F34" s="89" t="str">
        <x:v>answer_with_limitation</x:v>
      </x:c>
      <x:c r="G34" s="89" t="str">
        <x:v>공동명의자 단독 신청 가능 여부를 직접 설명하는 청크가 없어 공식 문의 안내가 필요.</x:v>
      </x:c>
      <x:c r="H34" s="89" t="str">
        <x:v>필요</x:v>
      </x:c>
    </x:row>
    <x:row r="35">
      <x:c r="A35" s="89" t="str">
        <x:v>UN-Q141</x:v>
      </x:c>
      <x:c r="B35" s="89" t="str">
        <x:v>정책·평가분리</x:v>
      </x:c>
      <x:c r="C35" s="89" t="str">
        <x:v>N</x:v>
      </x:c>
      <x:c r="D35" s="89" t="str">
        <x:v>false</x:v>
      </x:c>
      <x:c r="E35" s="89" t="str">
        <x:v>needs_clarification</x:v>
      </x:c>
      <x:c r="F35" s="89" t="str">
        <x:v>ask_clarification</x:v>
      </x:c>
      <x:c r="G35" s="89" t="str">
        <x:v>예금보험금 입금기간을 모든 미수령금에 적용할 수 없어 종류 확인 필요.</x:v>
      </x:c>
      <x:c r="H35" s="89" t="str">
        <x:v>필요</x:v>
      </x:c>
    </x:row>
    <x:row r="36">
      <x:c r="A36" s="90" t="str">
        <x:v>UN-Q142</x:v>
      </x:c>
      <x:c r="B36" s="90" t="str">
        <x:v>정책·평가분리</x:v>
      </x:c>
      <x:c r="C36" s="90" t="str">
        <x:v>N</x:v>
      </x:c>
      <x:c r="D36" s="90" t="str">
        <x:v>false</x:v>
      </x:c>
      <x:c r="E36" s="90" t="str">
        <x:v>needs_clarification</x:v>
      </x:c>
      <x:c r="F36" s="90" t="str">
        <x:v>ask_clarification</x:v>
      </x:c>
      <x:c r="G36" s="90" t="str">
        <x:v>다른 업무의 대리인 서류 청크 6개가 혼입되어 기존 Gold를 제거.</x:v>
      </x:c>
      <x:c r="H36" s="90" t="str">
        <x:v>필요</x:v>
      </x:c>
    </x:row>
  </x:sheetData>
  <x:mergeCells>
    <x:mergeCell ref="A1:H1"/>
  </x:mergeCells>
  <x:pageMargins left="0.7" right="0.7" top="0.75" bottom="0.75" header="0.3" footer="0.3"/>
</x:worksheet>
</file>